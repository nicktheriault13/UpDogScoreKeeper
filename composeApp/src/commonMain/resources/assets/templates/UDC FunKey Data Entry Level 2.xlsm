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katfa\Documents\UDC\UDC Data Entry V7-15-15\"/>
    </mc:Choice>
  </mc:AlternateContent>
  <xr:revisionPtr revIDLastSave="0" documentId="13_ncr:1_{4E7F1E4F-F460-4064-BA99-C38C5462130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structions" sheetId="4" r:id="rId1"/>
    <sheet name="Data Entry Sheet" sheetId="1" r:id="rId2"/>
    <sheet name="Sheet1" sheetId="2" state="hidden" r:id="rId3"/>
    <sheet name="Sort Data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4" i="1"/>
  <c r="O98" i="3" l="1"/>
  <c r="R98" i="3" s="1"/>
  <c r="Q98" i="3" s="1"/>
  <c r="L98" i="3"/>
  <c r="M98" i="3" s="1"/>
  <c r="O97" i="3"/>
  <c r="R97" i="3" s="1"/>
  <c r="Q97" i="3" s="1"/>
  <c r="L97" i="3"/>
  <c r="M97" i="3" s="1"/>
  <c r="O96" i="3"/>
  <c r="R96" i="3" s="1"/>
  <c r="Q96" i="3" s="1"/>
  <c r="L96" i="3"/>
  <c r="M96" i="3" s="1"/>
  <c r="O95" i="3"/>
  <c r="R95" i="3" s="1"/>
  <c r="Q95" i="3" s="1"/>
  <c r="L95" i="3"/>
  <c r="M95" i="3" s="1"/>
  <c r="O94" i="3"/>
  <c r="R94" i="3" s="1"/>
  <c r="Q94" i="3" s="1"/>
  <c r="L94" i="3"/>
  <c r="M94" i="3" s="1"/>
  <c r="O93" i="3"/>
  <c r="R93" i="3" s="1"/>
  <c r="Q93" i="3" s="1"/>
  <c r="L93" i="3"/>
  <c r="M93" i="3" s="1"/>
  <c r="O92" i="3"/>
  <c r="R92" i="3" s="1"/>
  <c r="Q92" i="3" s="1"/>
  <c r="L92" i="3"/>
  <c r="M92" i="3" s="1"/>
  <c r="O91" i="3"/>
  <c r="R91" i="3" s="1"/>
  <c r="Q91" i="3" s="1"/>
  <c r="L91" i="3"/>
  <c r="M91" i="3" s="1"/>
  <c r="O90" i="3"/>
  <c r="R90" i="3" s="1"/>
  <c r="Q90" i="3" s="1"/>
  <c r="L90" i="3"/>
  <c r="M90" i="3" s="1"/>
  <c r="O89" i="3"/>
  <c r="R89" i="3" s="1"/>
  <c r="Q89" i="3" s="1"/>
  <c r="L89" i="3"/>
  <c r="M89" i="3" s="1"/>
  <c r="O88" i="3"/>
  <c r="R88" i="3" s="1"/>
  <c r="Q88" i="3" s="1"/>
  <c r="M88" i="3"/>
  <c r="L88" i="3"/>
  <c r="O87" i="3"/>
  <c r="R87" i="3" s="1"/>
  <c r="Q87" i="3" s="1"/>
  <c r="L87" i="3"/>
  <c r="M87" i="3" s="1"/>
  <c r="O86" i="3"/>
  <c r="R86" i="3" s="1"/>
  <c r="Q86" i="3" s="1"/>
  <c r="L86" i="3"/>
  <c r="M86" i="3" s="1"/>
  <c r="O85" i="3"/>
  <c r="R85" i="3" s="1"/>
  <c r="Q85" i="3" s="1"/>
  <c r="L85" i="3"/>
  <c r="M85" i="3" s="1"/>
  <c r="O84" i="3"/>
  <c r="R84" i="3" s="1"/>
  <c r="Q84" i="3" s="1"/>
  <c r="M84" i="3"/>
  <c r="L84" i="3"/>
  <c r="O83" i="3"/>
  <c r="R83" i="3" s="1"/>
  <c r="Q83" i="3" s="1"/>
  <c r="L83" i="3"/>
  <c r="M83" i="3" s="1"/>
  <c r="O82" i="3"/>
  <c r="R82" i="3" s="1"/>
  <c r="Q82" i="3" s="1"/>
  <c r="L82" i="3"/>
  <c r="M82" i="3" s="1"/>
  <c r="O81" i="3"/>
  <c r="R81" i="3" s="1"/>
  <c r="Q81" i="3" s="1"/>
  <c r="L81" i="3"/>
  <c r="M81" i="3" s="1"/>
  <c r="O80" i="3"/>
  <c r="R80" i="3" s="1"/>
  <c r="Q80" i="3" s="1"/>
  <c r="L80" i="3"/>
  <c r="M80" i="3" s="1"/>
  <c r="O79" i="3"/>
  <c r="R79" i="3" s="1"/>
  <c r="Q79" i="3" s="1"/>
  <c r="L79" i="3"/>
  <c r="M79" i="3" s="1"/>
  <c r="O78" i="3"/>
  <c r="R78" i="3" s="1"/>
  <c r="Q78" i="3" s="1"/>
  <c r="L78" i="3"/>
  <c r="M78" i="3" s="1"/>
  <c r="O77" i="3"/>
  <c r="R77" i="3" s="1"/>
  <c r="Q77" i="3" s="1"/>
  <c r="L77" i="3"/>
  <c r="M77" i="3" s="1"/>
  <c r="O76" i="3"/>
  <c r="R76" i="3" s="1"/>
  <c r="Q76" i="3" s="1"/>
  <c r="L76" i="3"/>
  <c r="M76" i="3" s="1"/>
  <c r="O75" i="3"/>
  <c r="R75" i="3" s="1"/>
  <c r="Q75" i="3" s="1"/>
  <c r="L75" i="3"/>
  <c r="M75" i="3" s="1"/>
  <c r="O74" i="3"/>
  <c r="R74" i="3" s="1"/>
  <c r="Q74" i="3" s="1"/>
  <c r="L74" i="3"/>
  <c r="M74" i="3" s="1"/>
  <c r="O73" i="3"/>
  <c r="R73" i="3" s="1"/>
  <c r="Q73" i="3" s="1"/>
  <c r="L73" i="3"/>
  <c r="M73" i="3" s="1"/>
  <c r="O72" i="3"/>
  <c r="R72" i="3" s="1"/>
  <c r="Q72" i="3" s="1"/>
  <c r="L72" i="3"/>
  <c r="M72" i="3" s="1"/>
  <c r="O71" i="3"/>
  <c r="R71" i="3" s="1"/>
  <c r="Q71" i="3" s="1"/>
  <c r="L71" i="3"/>
  <c r="M71" i="3" s="1"/>
  <c r="O70" i="3"/>
  <c r="R70" i="3" s="1"/>
  <c r="Q70" i="3" s="1"/>
  <c r="L70" i="3"/>
  <c r="M70" i="3" s="1"/>
  <c r="O69" i="3"/>
  <c r="R69" i="3" s="1"/>
  <c r="Q69" i="3" s="1"/>
  <c r="L69" i="3"/>
  <c r="M69" i="3" s="1"/>
  <c r="O68" i="3"/>
  <c r="R68" i="3" s="1"/>
  <c r="Q68" i="3" s="1"/>
  <c r="L68" i="3"/>
  <c r="M68" i="3" s="1"/>
  <c r="O67" i="3"/>
  <c r="R67" i="3" s="1"/>
  <c r="Q67" i="3" s="1"/>
  <c r="L67" i="3"/>
  <c r="M67" i="3" s="1"/>
  <c r="O66" i="3"/>
  <c r="R66" i="3" s="1"/>
  <c r="Q66" i="3" s="1"/>
  <c r="L66" i="3"/>
  <c r="M66" i="3" s="1"/>
  <c r="O65" i="3"/>
  <c r="R65" i="3" s="1"/>
  <c r="Q65" i="3" s="1"/>
  <c r="L65" i="3"/>
  <c r="M65" i="3" s="1"/>
  <c r="O64" i="3"/>
  <c r="R64" i="3" s="1"/>
  <c r="Q64" i="3" s="1"/>
  <c r="L64" i="3"/>
  <c r="M64" i="3" s="1"/>
  <c r="O63" i="3"/>
  <c r="R63" i="3" s="1"/>
  <c r="Q63" i="3" s="1"/>
  <c r="L63" i="3"/>
  <c r="M63" i="3" s="1"/>
  <c r="O62" i="3"/>
  <c r="R62" i="3" s="1"/>
  <c r="Q62" i="3" s="1"/>
  <c r="L62" i="3"/>
  <c r="M62" i="3" s="1"/>
  <c r="O61" i="3"/>
  <c r="R61" i="3" s="1"/>
  <c r="Q61" i="3" s="1"/>
  <c r="L61" i="3"/>
  <c r="M61" i="3" s="1"/>
  <c r="O60" i="3"/>
  <c r="R60" i="3" s="1"/>
  <c r="Q60" i="3" s="1"/>
  <c r="L60" i="3"/>
  <c r="M60" i="3" s="1"/>
  <c r="O59" i="3"/>
  <c r="R59" i="3" s="1"/>
  <c r="Q59" i="3" s="1"/>
  <c r="L59" i="3"/>
  <c r="M59" i="3" s="1"/>
  <c r="O58" i="3"/>
  <c r="R58" i="3" s="1"/>
  <c r="Q58" i="3" s="1"/>
  <c r="L58" i="3"/>
  <c r="M58" i="3" s="1"/>
  <c r="O57" i="3"/>
  <c r="R57" i="3" s="1"/>
  <c r="Q57" i="3" s="1"/>
  <c r="L57" i="3"/>
  <c r="M57" i="3" s="1"/>
  <c r="O56" i="3"/>
  <c r="R56" i="3" s="1"/>
  <c r="Q56" i="3" s="1"/>
  <c r="L56" i="3"/>
  <c r="M56" i="3" s="1"/>
  <c r="O55" i="3"/>
  <c r="R55" i="3" s="1"/>
  <c r="Q55" i="3" s="1"/>
  <c r="L55" i="3"/>
  <c r="M55" i="3" s="1"/>
  <c r="O54" i="3"/>
  <c r="R54" i="3" s="1"/>
  <c r="Q54" i="3" s="1"/>
  <c r="L54" i="3"/>
  <c r="M54" i="3" s="1"/>
  <c r="O53" i="3"/>
  <c r="R53" i="3" s="1"/>
  <c r="Q53" i="3" s="1"/>
  <c r="L53" i="3"/>
  <c r="M53" i="3" s="1"/>
  <c r="O52" i="3"/>
  <c r="R52" i="3" s="1"/>
  <c r="Q52" i="3" s="1"/>
  <c r="L52" i="3"/>
  <c r="M52" i="3" s="1"/>
  <c r="O51" i="3"/>
  <c r="R51" i="3" s="1"/>
  <c r="Q51" i="3" s="1"/>
  <c r="L51" i="3"/>
  <c r="M51" i="3" s="1"/>
  <c r="O50" i="3"/>
  <c r="R50" i="3" s="1"/>
  <c r="Q50" i="3" s="1"/>
  <c r="L50" i="3"/>
  <c r="M50" i="3" s="1"/>
  <c r="O49" i="3"/>
  <c r="R49" i="3" s="1"/>
  <c r="Q49" i="3" s="1"/>
  <c r="L49" i="3"/>
  <c r="M49" i="3" s="1"/>
  <c r="O48" i="3"/>
  <c r="R48" i="3" s="1"/>
  <c r="Q48" i="3" s="1"/>
  <c r="L48" i="3"/>
  <c r="M48" i="3" s="1"/>
  <c r="O47" i="3"/>
  <c r="R47" i="3" s="1"/>
  <c r="Q47" i="3" s="1"/>
  <c r="L47" i="3"/>
  <c r="M47" i="3" s="1"/>
  <c r="O46" i="3"/>
  <c r="R46" i="3" s="1"/>
  <c r="Q46" i="3" s="1"/>
  <c r="L46" i="3"/>
  <c r="M46" i="3" s="1"/>
  <c r="O45" i="3"/>
  <c r="R45" i="3" s="1"/>
  <c r="Q45" i="3" s="1"/>
  <c r="L45" i="3"/>
  <c r="M45" i="3" s="1"/>
  <c r="O44" i="3"/>
  <c r="R44" i="3" s="1"/>
  <c r="Q44" i="3" s="1"/>
  <c r="L44" i="3"/>
  <c r="M44" i="3" s="1"/>
  <c r="O43" i="3"/>
  <c r="R43" i="3" s="1"/>
  <c r="Q43" i="3" s="1"/>
  <c r="L43" i="3"/>
  <c r="M43" i="3" s="1"/>
  <c r="O42" i="3"/>
  <c r="R42" i="3" s="1"/>
  <c r="Q42" i="3" s="1"/>
  <c r="L42" i="3"/>
  <c r="M42" i="3" s="1"/>
  <c r="O41" i="3"/>
  <c r="R41" i="3" s="1"/>
  <c r="Q41" i="3" s="1"/>
  <c r="L41" i="3"/>
  <c r="M41" i="3" s="1"/>
  <c r="O40" i="3"/>
  <c r="R40" i="3" s="1"/>
  <c r="Q40" i="3" s="1"/>
  <c r="L40" i="3"/>
  <c r="M40" i="3" s="1"/>
  <c r="O39" i="3"/>
  <c r="R39" i="3" s="1"/>
  <c r="Q39" i="3" s="1"/>
  <c r="L39" i="3"/>
  <c r="M39" i="3" s="1"/>
  <c r="O38" i="3"/>
  <c r="R38" i="3" s="1"/>
  <c r="Q38" i="3" s="1"/>
  <c r="L38" i="3"/>
  <c r="M38" i="3" s="1"/>
  <c r="O37" i="3"/>
  <c r="R37" i="3" s="1"/>
  <c r="Q37" i="3" s="1"/>
  <c r="L37" i="3"/>
  <c r="M37" i="3" s="1"/>
  <c r="O36" i="3"/>
  <c r="R36" i="3" s="1"/>
  <c r="Q36" i="3" s="1"/>
  <c r="L36" i="3"/>
  <c r="M36" i="3" s="1"/>
  <c r="O35" i="3"/>
  <c r="R35" i="3" s="1"/>
  <c r="Q35" i="3" s="1"/>
  <c r="L35" i="3"/>
  <c r="M35" i="3" s="1"/>
  <c r="O34" i="3"/>
  <c r="R34" i="3" s="1"/>
  <c r="Q34" i="3" s="1"/>
  <c r="L34" i="3"/>
  <c r="M34" i="3" s="1"/>
  <c r="O33" i="3"/>
  <c r="R33" i="3" s="1"/>
  <c r="Q33" i="3" s="1"/>
  <c r="L33" i="3"/>
  <c r="M33" i="3" s="1"/>
  <c r="O32" i="3"/>
  <c r="R32" i="3" s="1"/>
  <c r="Q32" i="3" s="1"/>
  <c r="L32" i="3"/>
  <c r="M32" i="3" s="1"/>
  <c r="O31" i="3"/>
  <c r="R31" i="3" s="1"/>
  <c r="Q31" i="3" s="1"/>
  <c r="L31" i="3"/>
  <c r="M31" i="3" s="1"/>
  <c r="O30" i="3"/>
  <c r="R30" i="3" s="1"/>
  <c r="Q30" i="3" s="1"/>
  <c r="L30" i="3"/>
  <c r="M30" i="3" s="1"/>
  <c r="O29" i="3"/>
  <c r="R29" i="3" s="1"/>
  <c r="Q29" i="3" s="1"/>
  <c r="L29" i="3"/>
  <c r="M29" i="3" s="1"/>
  <c r="O28" i="3"/>
  <c r="R28" i="3" s="1"/>
  <c r="Q28" i="3" s="1"/>
  <c r="L28" i="3"/>
  <c r="M28" i="3" s="1"/>
  <c r="O27" i="3"/>
  <c r="R27" i="3" s="1"/>
  <c r="Q27" i="3" s="1"/>
  <c r="L27" i="3"/>
  <c r="M27" i="3" s="1"/>
  <c r="O26" i="3"/>
  <c r="R26" i="3" s="1"/>
  <c r="Q26" i="3" s="1"/>
  <c r="L26" i="3"/>
  <c r="M26" i="3" s="1"/>
  <c r="O25" i="3"/>
  <c r="R25" i="3" s="1"/>
  <c r="Q25" i="3" s="1"/>
  <c r="L25" i="3"/>
  <c r="M25" i="3" s="1"/>
  <c r="O24" i="3"/>
  <c r="R24" i="3" s="1"/>
  <c r="Q24" i="3" s="1"/>
  <c r="L24" i="3"/>
  <c r="M24" i="3" s="1"/>
  <c r="O23" i="3"/>
  <c r="R23" i="3" s="1"/>
  <c r="Q23" i="3" s="1"/>
  <c r="L23" i="3"/>
  <c r="M23" i="3" s="1"/>
  <c r="O22" i="3"/>
  <c r="R22" i="3" s="1"/>
  <c r="Q22" i="3" s="1"/>
  <c r="L22" i="3"/>
  <c r="M22" i="3" s="1"/>
  <c r="O21" i="3"/>
  <c r="R21" i="3" s="1"/>
  <c r="Q21" i="3" s="1"/>
  <c r="M21" i="3"/>
  <c r="L21" i="3"/>
  <c r="O20" i="3"/>
  <c r="R20" i="3" s="1"/>
  <c r="Q20" i="3" s="1"/>
  <c r="L20" i="3"/>
  <c r="M20" i="3" s="1"/>
  <c r="O19" i="3"/>
  <c r="R19" i="3" s="1"/>
  <c r="Q19" i="3" s="1"/>
  <c r="L19" i="3"/>
  <c r="M19" i="3" s="1"/>
  <c r="O18" i="3"/>
  <c r="R18" i="3" s="1"/>
  <c r="Q18" i="3" s="1"/>
  <c r="L18" i="3"/>
  <c r="M18" i="3" s="1"/>
  <c r="O17" i="3"/>
  <c r="R17" i="3" s="1"/>
  <c r="Q17" i="3" s="1"/>
  <c r="L17" i="3"/>
  <c r="M17" i="3" s="1"/>
  <c r="O16" i="3"/>
  <c r="R16" i="3" s="1"/>
  <c r="Q16" i="3" s="1"/>
  <c r="L16" i="3"/>
  <c r="M16" i="3" s="1"/>
  <c r="O15" i="3"/>
  <c r="R15" i="3" s="1"/>
  <c r="Q15" i="3" s="1"/>
  <c r="L15" i="3"/>
  <c r="M15" i="3" s="1"/>
  <c r="O14" i="3"/>
  <c r="R14" i="3" s="1"/>
  <c r="Q14" i="3" s="1"/>
  <c r="L14" i="3"/>
  <c r="M14" i="3" s="1"/>
  <c r="O13" i="3"/>
  <c r="R13" i="3" s="1"/>
  <c r="Q13" i="3" s="1"/>
  <c r="L13" i="3"/>
  <c r="M13" i="3" s="1"/>
  <c r="O12" i="3"/>
  <c r="R12" i="3" s="1"/>
  <c r="Q12" i="3" s="1"/>
  <c r="L12" i="3"/>
  <c r="M12" i="3" s="1"/>
  <c r="O11" i="3"/>
  <c r="R11" i="3" s="1"/>
  <c r="Q11" i="3" s="1"/>
  <c r="L11" i="3"/>
  <c r="M11" i="3" s="1"/>
  <c r="O10" i="3"/>
  <c r="R10" i="3" s="1"/>
  <c r="Q10" i="3" s="1"/>
  <c r="L10" i="3"/>
  <c r="M10" i="3" s="1"/>
  <c r="O9" i="3"/>
  <c r="R9" i="3" s="1"/>
  <c r="Q9" i="3" s="1"/>
  <c r="L9" i="3"/>
  <c r="M9" i="3" s="1"/>
  <c r="O8" i="3"/>
  <c r="R8" i="3" s="1"/>
  <c r="Q8" i="3" s="1"/>
  <c r="L8" i="3"/>
  <c r="M8" i="3" s="1"/>
  <c r="O6" i="3"/>
  <c r="R6" i="3" s="1"/>
  <c r="Q6" i="3" s="1"/>
  <c r="L6" i="3"/>
  <c r="M6" i="3" s="1"/>
  <c r="O7" i="3"/>
  <c r="R7" i="3" s="1"/>
  <c r="Q7" i="3" s="1"/>
  <c r="L7" i="3"/>
  <c r="M7" i="3" s="1"/>
  <c r="O5" i="3"/>
  <c r="R5" i="3" s="1"/>
  <c r="Q5" i="3" s="1"/>
  <c r="L5" i="3"/>
  <c r="M5" i="3" s="1"/>
  <c r="O3" i="3"/>
  <c r="R3" i="3" s="1"/>
  <c r="Q3" i="3" s="1"/>
  <c r="L3" i="3"/>
  <c r="M3" i="3" s="1"/>
  <c r="O4" i="3"/>
  <c r="R4" i="3" s="1"/>
  <c r="Q4" i="3" s="1"/>
  <c r="L4" i="3"/>
  <c r="M4" i="3" s="1"/>
  <c r="O2" i="3"/>
  <c r="R2" i="3" s="1"/>
  <c r="Q2" i="3" s="1"/>
  <c r="L2" i="3"/>
  <c r="M2" i="3" s="1"/>
  <c r="L21" i="1" l="1"/>
  <c r="M21" i="1" s="1"/>
  <c r="R4" i="1"/>
  <c r="Q4" i="1" s="1"/>
  <c r="R5" i="1"/>
  <c r="Q5" i="1" s="1"/>
  <c r="R7" i="1"/>
  <c r="Q7" i="1" s="1"/>
  <c r="R11" i="1"/>
  <c r="Q11" i="1" s="1"/>
  <c r="R25" i="1"/>
  <c r="Q25" i="1" s="1"/>
  <c r="R29" i="1"/>
  <c r="Q29" i="1" s="1"/>
  <c r="R33" i="1"/>
  <c r="Q33" i="1" s="1"/>
  <c r="R37" i="1"/>
  <c r="Q37" i="1" s="1"/>
  <c r="R41" i="1"/>
  <c r="Q41" i="1" s="1"/>
  <c r="R45" i="1"/>
  <c r="Q45" i="1" s="1"/>
  <c r="R49" i="1"/>
  <c r="Q49" i="1" s="1"/>
  <c r="R53" i="1"/>
  <c r="Q53" i="1" s="1"/>
  <c r="R57" i="1"/>
  <c r="Q57" i="1" s="1"/>
  <c r="R61" i="1"/>
  <c r="Q61" i="1" s="1"/>
  <c r="R65" i="1"/>
  <c r="Q65" i="1" s="1"/>
  <c r="R69" i="1"/>
  <c r="Q69" i="1" s="1"/>
  <c r="R73" i="1"/>
  <c r="Q73" i="1" s="1"/>
  <c r="R77" i="1"/>
  <c r="Q77" i="1" s="1"/>
  <c r="R81" i="1"/>
  <c r="Q81" i="1" s="1"/>
  <c r="R85" i="1"/>
  <c r="Q85" i="1" s="1"/>
  <c r="R89" i="1"/>
  <c r="Q89" i="1" s="1"/>
  <c r="R93" i="1"/>
  <c r="Q93" i="1"/>
  <c r="R97" i="1"/>
  <c r="Q97" i="1" s="1"/>
  <c r="R100" i="1"/>
  <c r="Q100" i="1" s="1"/>
  <c r="L100" i="1"/>
  <c r="M100" i="1" s="1"/>
  <c r="R99" i="1"/>
  <c r="Q99" i="1" s="1"/>
  <c r="L99" i="1"/>
  <c r="M99" i="1" s="1"/>
  <c r="R98" i="1"/>
  <c r="Q98" i="1" s="1"/>
  <c r="L98" i="1"/>
  <c r="M98" i="1" s="1"/>
  <c r="L97" i="1"/>
  <c r="M97" i="1" s="1"/>
  <c r="R96" i="1"/>
  <c r="Q96" i="1" s="1"/>
  <c r="L96" i="1"/>
  <c r="M96" i="1" s="1"/>
  <c r="R95" i="1"/>
  <c r="Q95" i="1" s="1"/>
  <c r="L95" i="1"/>
  <c r="M95" i="1" s="1"/>
  <c r="R94" i="1"/>
  <c r="Q94" i="1" s="1"/>
  <c r="L94" i="1"/>
  <c r="M94" i="1" s="1"/>
  <c r="L93" i="1"/>
  <c r="M93" i="1" s="1"/>
  <c r="R92" i="1"/>
  <c r="Q92" i="1" s="1"/>
  <c r="L92" i="1"/>
  <c r="M92" i="1" s="1"/>
  <c r="R91" i="1"/>
  <c r="Q91" i="1" s="1"/>
  <c r="L91" i="1"/>
  <c r="M91" i="1" s="1"/>
  <c r="R90" i="1"/>
  <c r="Q90" i="1" s="1"/>
  <c r="L90" i="1"/>
  <c r="M90" i="1" s="1"/>
  <c r="L89" i="1"/>
  <c r="M89" i="1" s="1"/>
  <c r="R88" i="1"/>
  <c r="Q88" i="1" s="1"/>
  <c r="L88" i="1"/>
  <c r="M88" i="1" s="1"/>
  <c r="R87" i="1"/>
  <c r="Q87" i="1" s="1"/>
  <c r="L87" i="1"/>
  <c r="M87" i="1" s="1"/>
  <c r="R86" i="1"/>
  <c r="Q86" i="1" s="1"/>
  <c r="L86" i="1"/>
  <c r="M86" i="1" s="1"/>
  <c r="L85" i="1"/>
  <c r="M85" i="1" s="1"/>
  <c r="R84" i="1"/>
  <c r="Q84" i="1" s="1"/>
  <c r="L84" i="1"/>
  <c r="M84" i="1" s="1"/>
  <c r="R83" i="1"/>
  <c r="Q83" i="1" s="1"/>
  <c r="L83" i="1"/>
  <c r="M83" i="1" s="1"/>
  <c r="R82" i="1"/>
  <c r="Q82" i="1" s="1"/>
  <c r="L82" i="1"/>
  <c r="M82" i="1" s="1"/>
  <c r="L81" i="1"/>
  <c r="M81" i="1" s="1"/>
  <c r="R80" i="1"/>
  <c r="Q80" i="1" s="1"/>
  <c r="L80" i="1"/>
  <c r="M80" i="1" s="1"/>
  <c r="R79" i="1"/>
  <c r="Q79" i="1" s="1"/>
  <c r="L79" i="1"/>
  <c r="M79" i="1" s="1"/>
  <c r="R78" i="1"/>
  <c r="Q78" i="1" s="1"/>
  <c r="L78" i="1"/>
  <c r="M78" i="1" s="1"/>
  <c r="L77" i="1"/>
  <c r="M77" i="1" s="1"/>
  <c r="R76" i="1"/>
  <c r="Q76" i="1" s="1"/>
  <c r="L76" i="1"/>
  <c r="M76" i="1" s="1"/>
  <c r="R75" i="1"/>
  <c r="Q75" i="1" s="1"/>
  <c r="L75" i="1"/>
  <c r="M75" i="1" s="1"/>
  <c r="R74" i="1"/>
  <c r="Q74" i="1" s="1"/>
  <c r="L74" i="1"/>
  <c r="M74" i="1" s="1"/>
  <c r="L73" i="1"/>
  <c r="M73" i="1" s="1"/>
  <c r="R72" i="1"/>
  <c r="Q72" i="1" s="1"/>
  <c r="L72" i="1"/>
  <c r="M72" i="1" s="1"/>
  <c r="R71" i="1"/>
  <c r="Q71" i="1" s="1"/>
  <c r="L71" i="1"/>
  <c r="M71" i="1" s="1"/>
  <c r="R70" i="1"/>
  <c r="Q70" i="1" s="1"/>
  <c r="L70" i="1"/>
  <c r="M70" i="1" s="1"/>
  <c r="L69" i="1"/>
  <c r="M69" i="1" s="1"/>
  <c r="R68" i="1"/>
  <c r="Q68" i="1" s="1"/>
  <c r="L68" i="1"/>
  <c r="M68" i="1" s="1"/>
  <c r="R67" i="1"/>
  <c r="Q67" i="1" s="1"/>
  <c r="L67" i="1"/>
  <c r="M67" i="1" s="1"/>
  <c r="R66" i="1"/>
  <c r="Q66" i="1" s="1"/>
  <c r="L66" i="1"/>
  <c r="M66" i="1" s="1"/>
  <c r="L65" i="1"/>
  <c r="M65" i="1" s="1"/>
  <c r="R64" i="1"/>
  <c r="Q64" i="1" s="1"/>
  <c r="L64" i="1"/>
  <c r="M64" i="1" s="1"/>
  <c r="R63" i="1"/>
  <c r="Q63" i="1" s="1"/>
  <c r="L63" i="1"/>
  <c r="M63" i="1" s="1"/>
  <c r="R62" i="1"/>
  <c r="Q62" i="1" s="1"/>
  <c r="L62" i="1"/>
  <c r="M62" i="1" s="1"/>
  <c r="L61" i="1"/>
  <c r="M61" i="1" s="1"/>
  <c r="R60" i="1"/>
  <c r="Q60" i="1" s="1"/>
  <c r="L60" i="1"/>
  <c r="M60" i="1" s="1"/>
  <c r="R59" i="1"/>
  <c r="Q59" i="1" s="1"/>
  <c r="L59" i="1"/>
  <c r="M59" i="1" s="1"/>
  <c r="R58" i="1"/>
  <c r="Q58" i="1" s="1"/>
  <c r="L58" i="1"/>
  <c r="M58" i="1" s="1"/>
  <c r="L57" i="1"/>
  <c r="M57" i="1" s="1"/>
  <c r="R56" i="1"/>
  <c r="Q56" i="1" s="1"/>
  <c r="L56" i="1"/>
  <c r="M56" i="1" s="1"/>
  <c r="R55" i="1"/>
  <c r="Q55" i="1" s="1"/>
  <c r="L55" i="1"/>
  <c r="M55" i="1" s="1"/>
  <c r="R54" i="1"/>
  <c r="Q54" i="1" s="1"/>
  <c r="L54" i="1"/>
  <c r="M54" i="1" s="1"/>
  <c r="L53" i="1"/>
  <c r="M53" i="1" s="1"/>
  <c r="R52" i="1"/>
  <c r="Q52" i="1" s="1"/>
  <c r="L52" i="1"/>
  <c r="M52" i="1" s="1"/>
  <c r="R51" i="1"/>
  <c r="Q51" i="1" s="1"/>
  <c r="L51" i="1"/>
  <c r="M51" i="1" s="1"/>
  <c r="R50" i="1"/>
  <c r="Q50" i="1" s="1"/>
  <c r="L50" i="1"/>
  <c r="M50" i="1" s="1"/>
  <c r="L49" i="1"/>
  <c r="M49" i="1" s="1"/>
  <c r="R48" i="1"/>
  <c r="Q48" i="1" s="1"/>
  <c r="L48" i="1"/>
  <c r="M48" i="1" s="1"/>
  <c r="R47" i="1"/>
  <c r="Q47" i="1" s="1"/>
  <c r="L47" i="1"/>
  <c r="M47" i="1" s="1"/>
  <c r="R46" i="1"/>
  <c r="Q46" i="1" s="1"/>
  <c r="L46" i="1"/>
  <c r="M46" i="1" s="1"/>
  <c r="L45" i="1"/>
  <c r="M45" i="1" s="1"/>
  <c r="R44" i="1"/>
  <c r="Q44" i="1" s="1"/>
  <c r="L44" i="1"/>
  <c r="M44" i="1" s="1"/>
  <c r="R43" i="1"/>
  <c r="Q43" i="1" s="1"/>
  <c r="L43" i="1"/>
  <c r="M43" i="1" s="1"/>
  <c r="R42" i="1"/>
  <c r="Q42" i="1" s="1"/>
  <c r="L42" i="1"/>
  <c r="M42" i="1" s="1"/>
  <c r="L41" i="1"/>
  <c r="M41" i="1" s="1"/>
  <c r="R40" i="1"/>
  <c r="Q40" i="1" s="1"/>
  <c r="L40" i="1"/>
  <c r="M40" i="1" s="1"/>
  <c r="R39" i="1"/>
  <c r="Q39" i="1" s="1"/>
  <c r="L39" i="1"/>
  <c r="M39" i="1" s="1"/>
  <c r="R38" i="1"/>
  <c r="Q38" i="1" s="1"/>
  <c r="L38" i="1"/>
  <c r="M38" i="1" s="1"/>
  <c r="L37" i="1"/>
  <c r="M37" i="1" s="1"/>
  <c r="R36" i="1"/>
  <c r="Q36" i="1" s="1"/>
  <c r="L36" i="1"/>
  <c r="M36" i="1" s="1"/>
  <c r="R35" i="1"/>
  <c r="Q35" i="1" s="1"/>
  <c r="L35" i="1"/>
  <c r="M35" i="1" s="1"/>
  <c r="R34" i="1"/>
  <c r="Q34" i="1" s="1"/>
  <c r="L34" i="1"/>
  <c r="M34" i="1" s="1"/>
  <c r="L33" i="1"/>
  <c r="M33" i="1" s="1"/>
  <c r="R32" i="1"/>
  <c r="Q32" i="1" s="1"/>
  <c r="L32" i="1"/>
  <c r="M32" i="1" s="1"/>
  <c r="R31" i="1"/>
  <c r="Q31" i="1" s="1"/>
  <c r="L31" i="1"/>
  <c r="M31" i="1" s="1"/>
  <c r="R30" i="1"/>
  <c r="Q30" i="1" s="1"/>
  <c r="L30" i="1"/>
  <c r="M30" i="1" s="1"/>
  <c r="L29" i="1"/>
  <c r="M29" i="1" s="1"/>
  <c r="R28" i="1"/>
  <c r="Q28" i="1" s="1"/>
  <c r="L28" i="1"/>
  <c r="M28" i="1" s="1"/>
  <c r="R27" i="1"/>
  <c r="Q27" i="1" s="1"/>
  <c r="L27" i="1"/>
  <c r="M27" i="1" s="1"/>
  <c r="R26" i="1"/>
  <c r="Q26" i="1" s="1"/>
  <c r="L26" i="1"/>
  <c r="M26" i="1" s="1"/>
  <c r="L25" i="1"/>
  <c r="M25" i="1" s="1"/>
  <c r="R24" i="1"/>
  <c r="Q24" i="1" s="1"/>
  <c r="L24" i="1"/>
  <c r="M24" i="1" s="1"/>
  <c r="R23" i="1"/>
  <c r="Q23" i="1" s="1"/>
  <c r="L23" i="1"/>
  <c r="M23" i="1" s="1"/>
  <c r="R22" i="1"/>
  <c r="Q22" i="1" s="1"/>
  <c r="L22" i="1"/>
  <c r="M22" i="1" s="1"/>
  <c r="L11" i="1"/>
  <c r="M11" i="1" s="1"/>
  <c r="R18" i="1"/>
  <c r="Q18" i="1" s="1"/>
  <c r="L18" i="1"/>
  <c r="M18" i="1" s="1"/>
  <c r="R9" i="1"/>
  <c r="Q9" i="1" s="1"/>
  <c r="L9" i="1"/>
  <c r="M9" i="1" s="1"/>
  <c r="R20" i="1"/>
  <c r="Q20" i="1" s="1"/>
  <c r="L20" i="1"/>
  <c r="M20" i="1" s="1"/>
  <c r="L7" i="1"/>
  <c r="M7" i="1" s="1"/>
  <c r="R19" i="1"/>
  <c r="Q19" i="1" s="1"/>
  <c r="L19" i="1"/>
  <c r="M19" i="1" s="1"/>
  <c r="R12" i="1"/>
  <c r="Q12" i="1" s="1"/>
  <c r="L12" i="1"/>
  <c r="M12" i="1" s="1"/>
  <c r="R8" i="1"/>
  <c r="Q8" i="1" s="1"/>
  <c r="L8" i="1"/>
  <c r="M8" i="1" s="1"/>
  <c r="L5" i="1"/>
  <c r="M5" i="1" s="1"/>
  <c r="R14" i="1"/>
  <c r="Q14" i="1" s="1"/>
  <c r="L14" i="1"/>
  <c r="M14" i="1" s="1"/>
  <c r="R17" i="1"/>
  <c r="Q17" i="1" s="1"/>
  <c r="L17" i="1"/>
  <c r="M17" i="1" s="1"/>
  <c r="R10" i="1"/>
  <c r="Q10" i="1" s="1"/>
  <c r="L10" i="1"/>
  <c r="M10" i="1" s="1"/>
  <c r="L4" i="1"/>
  <c r="M4" i="1" s="1"/>
  <c r="R16" i="1"/>
  <c r="Q16" i="1" s="1"/>
  <c r="L16" i="1"/>
  <c r="M16" i="1" s="1"/>
  <c r="R15" i="1"/>
  <c r="Q15" i="1" s="1"/>
  <c r="L15" i="1"/>
  <c r="M15" i="1" s="1"/>
  <c r="R13" i="1"/>
  <c r="Q13" i="1" s="1"/>
  <c r="L13" i="1"/>
  <c r="M13" i="1" s="1"/>
  <c r="R6" i="1"/>
  <c r="Q6" i="1" s="1"/>
  <c r="L6" i="1"/>
  <c r="M6" i="1" s="1"/>
  <c r="R21" i="1"/>
  <c r="Q21" i="1" s="1"/>
  <c r="O3" i="1"/>
  <c r="R3" i="1" s="1"/>
  <c r="Q3" i="1" s="1"/>
  <c r="L3" i="1"/>
  <c r="M3" i="1" s="1"/>
</calcChain>
</file>

<file path=xl/sharedStrings.xml><?xml version="1.0" encoding="utf-8"?>
<sst xmlns="http://schemas.openxmlformats.org/spreadsheetml/2006/main" count="103" uniqueCount="67">
  <si>
    <t xml:space="preserve">Level </t>
  </si>
  <si>
    <t>Handler</t>
  </si>
  <si>
    <t>Dog</t>
  </si>
  <si>
    <r>
      <rPr>
        <sz val="11"/>
        <color theme="0"/>
        <rFont val="Calibri"/>
        <family val="2"/>
        <scheme val="minor"/>
      </rPr>
      <t>UDT #</t>
    </r>
    <r>
      <rPr>
        <sz val="11"/>
        <color theme="1"/>
        <rFont val="Calibri"/>
        <family val="2"/>
        <scheme val="minor"/>
      </rPr>
      <t xml:space="preserve">          (this is the UpDog Team # not the competitor #)</t>
    </r>
  </si>
  <si>
    <r>
      <t xml:space="preserve">Did the handler, dog and 1 disc end in the </t>
    </r>
    <r>
      <rPr>
        <sz val="11"/>
        <color theme="0"/>
        <rFont val="Calibri"/>
        <family val="2"/>
        <scheme val="minor"/>
      </rPr>
      <t>Sweet Spot</t>
    </r>
    <r>
      <rPr>
        <sz val="11"/>
        <color theme="1"/>
        <rFont val="Calibri"/>
        <family val="2"/>
        <scheme val="minor"/>
      </rPr>
      <t>, Y or N?</t>
    </r>
  </si>
  <si>
    <t>Total</t>
  </si>
  <si>
    <t>Example</t>
  </si>
  <si>
    <t>Uppy D</t>
  </si>
  <si>
    <t>Y</t>
  </si>
  <si>
    <r>
      <rPr>
        <sz val="11"/>
        <color theme="0"/>
        <rFont val="Calibri"/>
        <family val="2"/>
        <scheme val="minor"/>
      </rPr>
      <t>3 Point Obstacles</t>
    </r>
    <r>
      <rPr>
        <sz val="11"/>
        <color theme="1"/>
        <rFont val="Calibri"/>
        <family val="2"/>
        <scheme val="minor"/>
      </rPr>
      <t xml:space="preserve">             Total # of 3 point obstacles completed successfully</t>
    </r>
  </si>
  <si>
    <r>
      <rPr>
        <sz val="11"/>
        <color theme="0"/>
        <rFont val="Calibri"/>
        <family val="2"/>
        <scheme val="minor"/>
      </rPr>
      <t>2 Point Obstacles</t>
    </r>
    <r>
      <rPr>
        <sz val="11"/>
        <color theme="1"/>
        <rFont val="Calibri"/>
        <family val="2"/>
        <scheme val="minor"/>
      </rPr>
      <t xml:space="preserve">             Total # of 2 point obstacles completed successfully</t>
    </r>
  </si>
  <si>
    <r>
      <rPr>
        <sz val="11"/>
        <color theme="0"/>
        <rFont val="Calibri"/>
        <family val="2"/>
        <scheme val="minor"/>
      </rPr>
      <t>1 Point Obstacles</t>
    </r>
    <r>
      <rPr>
        <sz val="11"/>
        <color theme="1"/>
        <rFont val="Calibri"/>
        <family val="2"/>
        <scheme val="minor"/>
      </rPr>
      <t xml:space="preserve">             Total # of 1 point obstacles completed successfully</t>
    </r>
  </si>
  <si>
    <t># of Catches in 1 point zone</t>
  </si>
  <si>
    <t># of Catches in 2 point zone</t>
  </si>
  <si>
    <t># of Catches in 3 point zone</t>
  </si>
  <si>
    <t># of Catches in 4 point zone</t>
  </si>
  <si>
    <t>Total for Zones</t>
  </si>
  <si>
    <t>Total Quads Cleared</t>
  </si>
  <si>
    <r>
      <t xml:space="preserve">Were all throws thrown as </t>
    </r>
    <r>
      <rPr>
        <sz val="11"/>
        <color theme="0"/>
        <rFont val="Calibri"/>
        <family val="2"/>
        <scheme val="minor"/>
      </rPr>
      <t xml:space="preserve">Rollers           </t>
    </r>
    <r>
      <rPr>
        <sz val="11"/>
        <rFont val="Calibri"/>
        <family val="2"/>
        <scheme val="minor"/>
      </rPr>
      <t>Y or N</t>
    </r>
    <r>
      <rPr>
        <sz val="11"/>
        <color theme="1"/>
        <rFont val="Calibri"/>
        <family val="2"/>
        <scheme val="minor"/>
      </rPr>
      <t>?</t>
    </r>
  </si>
  <si>
    <t>High Roller</t>
  </si>
  <si>
    <t>N</t>
  </si>
  <si>
    <t>Zones + SS Total</t>
  </si>
  <si>
    <t>Final Total</t>
  </si>
  <si>
    <t>1) Double check data on scoresheet</t>
  </si>
  <si>
    <t>2)  Fill out all white cells - do not leave any blank as data is required for assessing achievements earned and in case a tie breaker is needed</t>
  </si>
  <si>
    <t>If no UDT # ensure full names are used for handler and proper spelling for dog</t>
  </si>
  <si>
    <t>To determine placements:</t>
  </si>
  <si>
    <t>3) Go to sort sheet, place cursor in yellow box, press button to sort</t>
  </si>
  <si>
    <t>If need be a clear data button is available in the total column to clear the sort sheet of previous data</t>
  </si>
  <si>
    <t xml:space="preserve">Tie Breaking: In the event of a tie, the following criteria will be used to determine placements: The team with the most </t>
  </si>
  <si>
    <t xml:space="preserve">4 point zones completed wins, then the team with the most 3 point zones complete, 2 point zones, and then 1 point </t>
  </si>
  <si>
    <t xml:space="preserve">zones. If all of the above criteria is identical, the two teams will each receive an additional 15 second round to score as </t>
  </si>
  <si>
    <t xml:space="preserve">many points as possible. A disc flip will determine which goes first. The team with the highest score after the 15 second </t>
  </si>
  <si>
    <t>round wins the tiebreaker.</t>
  </si>
  <si>
    <t>4) Review zone data for tie breakers</t>
  </si>
  <si>
    <t>FunKey Data Entry</t>
  </si>
  <si>
    <t>Do not rearrange any columns, do not delete the example row!</t>
  </si>
  <si>
    <r>
      <t xml:space="preserve">Were all throws thrown as </t>
    </r>
    <r>
      <rPr>
        <sz val="11"/>
        <color theme="0"/>
        <rFont val="Calibri"/>
        <family val="2"/>
        <scheme val="minor"/>
      </rPr>
      <t xml:space="preserve">Rollers
</t>
    </r>
    <r>
      <rPr>
        <sz val="11"/>
        <rFont val="Calibri"/>
        <family val="2"/>
        <scheme val="minor"/>
      </rPr>
      <t>Y or N</t>
    </r>
    <r>
      <rPr>
        <sz val="11"/>
        <color theme="1"/>
        <rFont val="Calibri"/>
        <family val="2"/>
        <scheme val="minor"/>
      </rPr>
      <t>?</t>
    </r>
  </si>
  <si>
    <r>
      <t xml:space="preserve">Did the handler, dog and 1 disc end in the </t>
    </r>
    <r>
      <rPr>
        <sz val="11"/>
        <color theme="0"/>
        <rFont val="Calibri"/>
        <family val="2"/>
        <scheme val="minor"/>
      </rPr>
      <t xml:space="preserve">Sweet Spot
</t>
    </r>
    <r>
      <rPr>
        <sz val="11"/>
        <color theme="1"/>
        <rFont val="Calibri"/>
        <family val="2"/>
        <scheme val="minor"/>
      </rPr>
      <t>Y or N?</t>
    </r>
  </si>
  <si>
    <r>
      <rPr>
        <sz val="11"/>
        <color theme="0"/>
        <rFont val="Calibri"/>
        <family val="2"/>
        <scheme val="minor"/>
      </rPr>
      <t xml:space="preserve">UDT #
</t>
    </r>
    <r>
      <rPr>
        <sz val="11"/>
        <color theme="1"/>
        <rFont val="Calibri"/>
        <family val="2"/>
        <scheme val="minor"/>
      </rPr>
      <t>(this is the UpDog Team # not the competitor #)</t>
    </r>
  </si>
  <si>
    <t>Steve Chasse</t>
  </si>
  <si>
    <t>Jackson</t>
  </si>
  <si>
    <t>T1845159</t>
  </si>
  <si>
    <t>Louise Andrews</t>
  </si>
  <si>
    <t>Sheba</t>
  </si>
  <si>
    <t>T345154</t>
  </si>
  <si>
    <t>James Tang</t>
  </si>
  <si>
    <t>Travis</t>
  </si>
  <si>
    <t>T408157</t>
  </si>
  <si>
    <t>Dominique Turmel</t>
  </si>
  <si>
    <t>Luna</t>
  </si>
  <si>
    <t>T2897169</t>
  </si>
  <si>
    <t>Josée Roussy</t>
  </si>
  <si>
    <t>Kazz</t>
  </si>
  <si>
    <t>T3164166</t>
  </si>
  <si>
    <t>Valeria Melia</t>
  </si>
  <si>
    <t>Ammo</t>
  </si>
  <si>
    <t>T329154</t>
  </si>
  <si>
    <t>Blink</t>
  </si>
  <si>
    <t>T344150</t>
  </si>
  <si>
    <t>Bebelle</t>
  </si>
  <si>
    <t>T1618159</t>
  </si>
  <si>
    <t>Regular event submissions:</t>
  </si>
  <si>
    <t>https://www.cognitoforms.com/UpDog1/EventResultsSubmissions</t>
  </si>
  <si>
    <t>Or the following if Bite Club games are part of your event.  Even if you play extra games at Bite Club please use the Bite Club form only for results submissions.</t>
  </si>
  <si>
    <t>https://www.cognitoforms.com/UpDog1/BiteClubResultsSubmissions</t>
  </si>
  <si>
    <t>Save this form as the Location name, date, game (Example:  PlantCity2-8-15FunKey)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</si>
</sst>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373737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1"/>
      <color rgb="FF141823"/>
      <name val="Arial"/>
      <family val="2"/>
    </font>
    <font>
      <sz val="12"/>
      <color theme="1"/>
      <name val="Calibri"/>
      <family val="2"/>
      <scheme val="minor"/>
    </font>
    <font>
      <sz val="12.1"/>
      <color theme="1"/>
      <name val="Arial"/>
      <family val="2"/>
    </font>
    <font>
      <sz val="12"/>
      <color rgb="FF000000"/>
      <name val="Verdana"/>
      <family val="2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A3AC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88F95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 applyProtection="1">
      <alignment horizontal="center"/>
      <protection locked="0"/>
    </xf>
    <xf numFmtId="0" fontId="2" fillId="2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>
      <alignment horizontal="center"/>
    </xf>
    <xf numFmtId="0" fontId="0" fillId="4" borderId="1" xfId="0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1" fillId="4" borderId="2" xfId="0" applyFont="1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4" borderId="2" xfId="0" applyFill="1" applyBorder="1" applyAlignment="1" applyProtection="1">
      <alignment horizontal="center" wrapText="1"/>
      <protection locked="0"/>
    </xf>
    <xf numFmtId="0" fontId="0" fillId="4" borderId="0" xfId="0" applyFill="1"/>
    <xf numFmtId="0" fontId="3" fillId="3" borderId="5" xfId="0" applyFont="1" applyFill="1" applyBorder="1" applyAlignment="1">
      <alignment horizontal="center"/>
    </xf>
    <xf numFmtId="0" fontId="2" fillId="5" borderId="4" xfId="0" applyFont="1" applyFill="1" applyBorder="1" applyAlignment="1" applyProtection="1">
      <alignment horizontal="center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7" fillId="6" borderId="7" xfId="0" applyFont="1" applyFill="1" applyBorder="1" applyAlignment="1" applyProtection="1">
      <alignment wrapText="1"/>
      <protection locked="0"/>
    </xf>
    <xf numFmtId="0" fontId="9" fillId="7" borderId="0" xfId="0" applyFont="1" applyFill="1" applyProtection="1">
      <protection locked="0"/>
    </xf>
    <xf numFmtId="0" fontId="8" fillId="7" borderId="0" xfId="0" applyFont="1" applyFill="1" applyAlignment="1" applyProtection="1">
      <alignment vertical="center"/>
      <protection locked="0"/>
    </xf>
    <xf numFmtId="0" fontId="10" fillId="7" borderId="0" xfId="0" applyFont="1" applyFill="1" applyAlignment="1" applyProtection="1">
      <alignment horizontal="center"/>
      <protection locked="0"/>
    </xf>
    <xf numFmtId="0" fontId="8" fillId="7" borderId="0" xfId="0" applyFont="1" applyFill="1" applyProtection="1">
      <protection locked="0"/>
    </xf>
    <xf numFmtId="0" fontId="11" fillId="6" borderId="7" xfId="0" applyFont="1" applyFill="1" applyBorder="1" applyAlignment="1" applyProtection="1">
      <alignment horizontal="left" wrapText="1"/>
      <protection locked="0"/>
    </xf>
    <xf numFmtId="0" fontId="9" fillId="7" borderId="7" xfId="0" applyFont="1" applyFill="1" applyBorder="1" applyProtection="1">
      <protection locked="0"/>
    </xf>
    <xf numFmtId="0" fontId="10" fillId="7" borderId="7" xfId="0" applyFont="1" applyFill="1" applyBorder="1" applyAlignment="1" applyProtection="1">
      <alignment horizontal="center"/>
      <protection locked="0"/>
    </xf>
    <xf numFmtId="0" fontId="8" fillId="7" borderId="7" xfId="0" applyFont="1" applyFill="1" applyBorder="1" applyAlignment="1" applyProtection="1">
      <alignment vertical="center"/>
      <protection locked="0"/>
    </xf>
    <xf numFmtId="0" fontId="7" fillId="0" borderId="7" xfId="0" applyFont="1" applyBorder="1" applyAlignment="1" applyProtection="1">
      <alignment wrapText="1"/>
      <protection locked="0"/>
    </xf>
    <xf numFmtId="0" fontId="9" fillId="0" borderId="0" xfId="0" applyFont="1" applyProtection="1"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11" fillId="0" borderId="7" xfId="0" applyFont="1" applyBorder="1" applyAlignment="1" applyProtection="1">
      <alignment horizontal="left" wrapText="1"/>
      <protection locked="0"/>
    </xf>
    <xf numFmtId="0" fontId="10" fillId="0" borderId="0" xfId="0" applyFont="1" applyAlignment="1" applyProtection="1">
      <alignment horizontal="center"/>
      <protection locked="0"/>
    </xf>
    <xf numFmtId="0" fontId="9" fillId="0" borderId="7" xfId="0" applyFont="1" applyBorder="1" applyProtection="1">
      <protection locked="0"/>
    </xf>
    <xf numFmtId="0" fontId="10" fillId="0" borderId="7" xfId="0" applyFont="1" applyBorder="1" applyAlignment="1" applyProtection="1">
      <alignment horizontal="center"/>
      <protection locked="0"/>
    </xf>
    <xf numFmtId="0" fontId="8" fillId="0" borderId="7" xfId="0" applyFont="1" applyBorder="1" applyAlignment="1" applyProtection="1">
      <alignment vertical="center"/>
      <protection locked="0"/>
    </xf>
    <xf numFmtId="0" fontId="0" fillId="8" borderId="0" xfId="0" applyFill="1"/>
    <xf numFmtId="0" fontId="2" fillId="8" borderId="0" xfId="0" applyFont="1" applyFill="1"/>
    <xf numFmtId="0" fontId="5" fillId="8" borderId="0" xfId="0" applyFont="1" applyFill="1" applyAlignment="1">
      <alignment horizontal="left" indent="1"/>
    </xf>
    <xf numFmtId="0" fontId="4" fillId="8" borderId="0" xfId="0" applyFont="1" applyFill="1" applyAlignment="1">
      <alignment horizontal="left"/>
    </xf>
    <xf numFmtId="0" fontId="0" fillId="9" borderId="5" xfId="0" applyFill="1" applyBorder="1" applyAlignment="1">
      <alignment horizontal="center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13" fillId="0" borderId="0" xfId="1" applyAlignment="1">
      <alignment vertical="center"/>
    </xf>
    <xf numFmtId="0" fontId="12" fillId="8" borderId="0" xfId="0" applyFont="1" applyFill="1" applyAlignment="1">
      <alignment vertical="center"/>
    </xf>
    <xf numFmtId="0" fontId="13" fillId="8" borderId="0" xfId="1" applyFill="1" applyAlignment="1">
      <alignment vertical="center"/>
    </xf>
    <xf numFmtId="0" fontId="0" fillId="8" borderId="0" xfId="0" applyFill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A3A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561975</xdr:rowOff>
        </xdr:from>
        <xdr:to>
          <xdr:col>1</xdr:col>
          <xdr:colOff>1171575</xdr:colOff>
          <xdr:row>0</xdr:row>
          <xdr:rowOff>1362075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cursor in the yellow box and press button to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0</xdr:row>
          <xdr:rowOff>342900</xdr:rowOff>
        </xdr:from>
        <xdr:to>
          <xdr:col>12</xdr:col>
          <xdr:colOff>600075</xdr:colOff>
          <xdr:row>0</xdr:row>
          <xdr:rowOff>914400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cognitoforms.com/UpDog1/BiteClubResultsSubmissions" TargetMode="External"/><Relationship Id="rId1" Type="http://schemas.openxmlformats.org/officeDocument/2006/relationships/hyperlink" Target="https://www.cognitoforms.com/UpDog1/EventResultsSub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tabSelected="1" workbookViewId="0">
      <selection activeCell="J9" sqref="J9"/>
    </sheetView>
  </sheetViews>
  <sheetFormatPr defaultColWidth="8.85546875" defaultRowHeight="15" x14ac:dyDescent="0.25"/>
  <sheetData>
    <row r="1" spans="1:14" x14ac:dyDescent="0.25">
      <c r="A1" s="41" t="s">
        <v>23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x14ac:dyDescent="0.25">
      <c r="A2" s="42" t="s">
        <v>24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 x14ac:dyDescent="0.25">
      <c r="A3" s="43" t="s">
        <v>25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 x14ac:dyDescent="0.25">
      <c r="A4" s="44" t="s">
        <v>26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 x14ac:dyDescent="0.25">
      <c r="A5" s="41" t="s">
        <v>27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 x14ac:dyDescent="0.25">
      <c r="A6" s="41" t="s">
        <v>34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 x14ac:dyDescent="0.25">
      <c r="A7" s="41" t="s">
        <v>28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 x14ac:dyDescent="0.25">
      <c r="A8" s="41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 x14ac:dyDescent="0.25">
      <c r="A9" s="41" t="s">
        <v>36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 x14ac:dyDescent="0.25">
      <c r="A10" s="42" t="s">
        <v>66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 x14ac:dyDescent="0.25">
      <c r="A11" s="50" t="s">
        <v>62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 x14ac:dyDescent="0.25">
      <c r="A12" s="51" t="s">
        <v>63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 x14ac:dyDescent="0.25">
      <c r="A13" s="52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 x14ac:dyDescent="0.25">
      <c r="A14" s="50" t="s">
        <v>64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 x14ac:dyDescent="0.25">
      <c r="A15" s="51" t="s">
        <v>65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 x14ac:dyDescent="0.25">
      <c r="A16" s="49"/>
    </row>
    <row r="17" spans="1:1" x14ac:dyDescent="0.25">
      <c r="A17" t="s">
        <v>29</v>
      </c>
    </row>
    <row r="18" spans="1:1" x14ac:dyDescent="0.25">
      <c r="A18" t="s">
        <v>30</v>
      </c>
    </row>
    <row r="19" spans="1:1" x14ac:dyDescent="0.25">
      <c r="A19" t="s">
        <v>31</v>
      </c>
    </row>
    <row r="20" spans="1:1" x14ac:dyDescent="0.25">
      <c r="A20" t="s">
        <v>32</v>
      </c>
    </row>
    <row r="21" spans="1:1" x14ac:dyDescent="0.25">
      <c r="A21" t="s">
        <v>33</v>
      </c>
    </row>
  </sheetData>
  <hyperlinks>
    <hyperlink ref="A12" r:id="rId1" xr:uid="{EB984F69-FC01-4500-906F-C0A8CB806663}"/>
    <hyperlink ref="A15" r:id="rId2" xr:uid="{BECC0B3A-E872-40EE-80BE-24DE9826030E}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CA3AC3"/>
  </sheetPr>
  <dimension ref="A1:R101"/>
  <sheetViews>
    <sheetView view="pageBreakPreview" workbookViewId="0">
      <pane xSplit="1" ySplit="3" topLeftCell="B96" activePane="bottomRight" state="frozen"/>
      <selection pane="topRight" activeCell="B1" sqref="B1"/>
      <selection pane="bottomLeft" activeCell="A4" sqref="A4"/>
      <selection pane="bottomRight" activeCell="F98" sqref="F98"/>
    </sheetView>
  </sheetViews>
  <sheetFormatPr defaultColWidth="8.85546875" defaultRowHeight="15" x14ac:dyDescent="0.25"/>
  <cols>
    <col min="1" max="1" width="8.85546875" style="1"/>
    <col min="2" max="2" width="24.140625" style="3" bestFit="1" customWidth="1"/>
    <col min="3" max="3" width="16.28515625" style="3" customWidth="1"/>
    <col min="4" max="4" width="19.42578125" style="3" customWidth="1"/>
    <col min="5" max="7" width="14.7109375" style="3" customWidth="1"/>
    <col min="8" max="11" width="12.7109375" style="3" customWidth="1"/>
    <col min="12" max="12" width="11.28515625" style="3" customWidth="1"/>
    <col min="13" max="13" width="8.85546875" style="1"/>
    <col min="14" max="14" width="11.28515625" style="4" customWidth="1"/>
    <col min="15" max="15" width="7.28515625" style="3" customWidth="1"/>
    <col min="16" max="16" width="11.28515625" style="18" customWidth="1"/>
    <col min="17" max="17" width="9.85546875" style="1" customWidth="1"/>
    <col min="18" max="18" width="7.7109375" style="3" customWidth="1"/>
    <col min="19" max="16384" width="8.85546875" style="1"/>
  </cols>
  <sheetData>
    <row r="1" spans="1:18" ht="15.75" thickBot="1" x14ac:dyDescent="0.3">
      <c r="A1" s="48" t="s">
        <v>35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</row>
    <row r="2" spans="1:18" s="2" customFormat="1" ht="105.75" thickBot="1" x14ac:dyDescent="0.3">
      <c r="A2" s="10" t="s">
        <v>0</v>
      </c>
      <c r="B2" s="10" t="s">
        <v>1</v>
      </c>
      <c r="C2" s="11" t="s">
        <v>2</v>
      </c>
      <c r="D2" s="11" t="s">
        <v>39</v>
      </c>
      <c r="E2" s="11" t="s">
        <v>9</v>
      </c>
      <c r="F2" s="11" t="s">
        <v>10</v>
      </c>
      <c r="G2" s="11" t="s">
        <v>11</v>
      </c>
      <c r="H2" s="12" t="s">
        <v>12</v>
      </c>
      <c r="I2" s="12" t="s">
        <v>13</v>
      </c>
      <c r="J2" s="12" t="s">
        <v>14</v>
      </c>
      <c r="K2" s="12" t="s">
        <v>15</v>
      </c>
      <c r="L2" s="11" t="s">
        <v>16</v>
      </c>
      <c r="M2" s="13" t="s">
        <v>17</v>
      </c>
      <c r="N2" s="14" t="s">
        <v>38</v>
      </c>
      <c r="O2" s="11" t="s">
        <v>21</v>
      </c>
      <c r="P2" s="14" t="s">
        <v>37</v>
      </c>
      <c r="Q2" s="13" t="s">
        <v>19</v>
      </c>
      <c r="R2" s="12" t="s">
        <v>22</v>
      </c>
    </row>
    <row r="3" spans="1:18" ht="20.100000000000001" customHeight="1" thickBot="1" x14ac:dyDescent="0.3">
      <c r="A3" s="45">
        <v>2</v>
      </c>
      <c r="B3" s="21" t="s">
        <v>6</v>
      </c>
      <c r="C3" s="21" t="s">
        <v>7</v>
      </c>
      <c r="D3" s="21"/>
      <c r="E3" s="20">
        <v>5</v>
      </c>
      <c r="F3" s="20">
        <v>1</v>
      </c>
      <c r="G3" s="20">
        <v>0</v>
      </c>
      <c r="H3" s="9">
        <v>1</v>
      </c>
      <c r="I3" s="9">
        <v>2</v>
      </c>
      <c r="J3" s="9">
        <v>2</v>
      </c>
      <c r="K3" s="9">
        <v>1</v>
      </c>
      <c r="L3" s="7">
        <f t="shared" ref="L3:L21" si="0">SUM(H3*1)+(I3*2)+(J3*3)+(K3*4)</f>
        <v>15</v>
      </c>
      <c r="M3" s="16">
        <f>IF(L3&lt;10,0,IF(L3&lt;20,1,IF(L3&lt;30,2,IF(L3&lt;40,3,IF(L3&gt;=40,4)))))</f>
        <v>1</v>
      </c>
      <c r="N3" s="8" t="s">
        <v>8</v>
      </c>
      <c r="O3" s="7">
        <f t="shared" ref="O3" si="1">SUM(H3*1)+(I3*2)+(J3*3)+(K3*4)+IF(N3="Y",2,IF(N3="N",0))</f>
        <v>17</v>
      </c>
      <c r="P3" s="8" t="s">
        <v>8</v>
      </c>
      <c r="Q3" s="9" t="str">
        <f t="shared" ref="Q3:Q21" si="2">IF(AND(R3&gt;25,P3="Y"),"Yes","No")</f>
        <v>Yes</v>
      </c>
      <c r="R3" s="6">
        <f t="shared" ref="R3:R21" si="3">SUM(E3*3)+(F3*2)+(G3*1)+(O3)</f>
        <v>34</v>
      </c>
    </row>
    <row r="4" spans="1:18" ht="20.100000000000001" customHeight="1" x14ac:dyDescent="0.25">
      <c r="A4" s="45">
        <v>2</v>
      </c>
      <c r="B4" s="4"/>
      <c r="C4" s="4"/>
      <c r="D4" s="4"/>
      <c r="E4" s="46"/>
      <c r="F4" s="46"/>
      <c r="G4" s="46"/>
      <c r="H4" s="46"/>
      <c r="I4" s="46"/>
      <c r="J4" s="46"/>
      <c r="K4" s="46"/>
      <c r="L4" s="5">
        <f t="shared" si="0"/>
        <v>0</v>
      </c>
      <c r="M4" s="16">
        <f t="shared" ref="M4:M67" si="4">IF(L4&lt;10,0,IF(L4&lt;20,1,IF(L4&lt;30,2,IF(L4&lt;40,3,IF(L4&gt;=40,4)))))</f>
        <v>0</v>
      </c>
      <c r="N4" s="17"/>
      <c r="O4" s="5">
        <f t="shared" ref="O4:O67" si="5">SUM(H4*1)+(I4*2)+(J4*3)+(K4*4)+IF(N4="Y",5,IF(N4="N",0))</f>
        <v>0</v>
      </c>
      <c r="P4" s="17" t="s">
        <v>20</v>
      </c>
      <c r="Q4" s="9" t="str">
        <f t="shared" si="2"/>
        <v>No</v>
      </c>
      <c r="R4" s="6">
        <f t="shared" si="3"/>
        <v>0</v>
      </c>
    </row>
    <row r="5" spans="1:18" ht="20.100000000000001" customHeight="1" x14ac:dyDescent="0.25">
      <c r="A5" s="45">
        <v>2</v>
      </c>
      <c r="B5" s="4"/>
      <c r="C5" s="4"/>
      <c r="D5" s="4"/>
      <c r="E5" s="47"/>
      <c r="F5" s="47"/>
      <c r="G5" s="47"/>
      <c r="H5" s="47"/>
      <c r="I5" s="47"/>
      <c r="J5" s="47"/>
      <c r="K5" s="47"/>
      <c r="L5" s="5">
        <f t="shared" si="0"/>
        <v>0</v>
      </c>
      <c r="M5" s="16">
        <f t="shared" si="4"/>
        <v>0</v>
      </c>
      <c r="N5" s="17"/>
      <c r="O5" s="5">
        <f t="shared" si="5"/>
        <v>0</v>
      </c>
      <c r="P5" s="17" t="s">
        <v>20</v>
      </c>
      <c r="Q5" s="9" t="str">
        <f t="shared" si="2"/>
        <v>No</v>
      </c>
      <c r="R5" s="6">
        <f t="shared" si="3"/>
        <v>0</v>
      </c>
    </row>
    <row r="6" spans="1:18" ht="20.100000000000001" customHeight="1" x14ac:dyDescent="0.25">
      <c r="A6" s="45">
        <v>2</v>
      </c>
      <c r="B6" s="4"/>
      <c r="C6" s="4"/>
      <c r="D6" s="4"/>
      <c r="E6" s="47"/>
      <c r="F6" s="47"/>
      <c r="G6" s="47"/>
      <c r="H6" s="47"/>
      <c r="I6" s="47"/>
      <c r="J6" s="47"/>
      <c r="K6" s="47"/>
      <c r="L6" s="5">
        <f t="shared" si="0"/>
        <v>0</v>
      </c>
      <c r="M6" s="16">
        <f t="shared" si="4"/>
        <v>0</v>
      </c>
      <c r="N6" s="17"/>
      <c r="O6" s="5">
        <f t="shared" si="5"/>
        <v>0</v>
      </c>
      <c r="P6" s="17"/>
      <c r="Q6" s="9" t="str">
        <f t="shared" si="2"/>
        <v>No</v>
      </c>
      <c r="R6" s="6">
        <f t="shared" si="3"/>
        <v>0</v>
      </c>
    </row>
    <row r="7" spans="1:18" ht="20.100000000000001" customHeight="1" x14ac:dyDescent="0.25">
      <c r="A7" s="45">
        <v>2</v>
      </c>
      <c r="B7" s="4"/>
      <c r="C7" s="4"/>
      <c r="D7" s="4"/>
      <c r="E7" s="47"/>
      <c r="F7" s="47"/>
      <c r="G7" s="47"/>
      <c r="H7" s="47"/>
      <c r="I7" s="47"/>
      <c r="J7" s="47"/>
      <c r="K7" s="47"/>
      <c r="L7" s="5">
        <f t="shared" si="0"/>
        <v>0</v>
      </c>
      <c r="M7" s="16">
        <f t="shared" si="4"/>
        <v>0</v>
      </c>
      <c r="N7" s="17"/>
      <c r="O7" s="5">
        <f t="shared" si="5"/>
        <v>0</v>
      </c>
      <c r="P7" s="17"/>
      <c r="Q7" s="9" t="str">
        <f t="shared" si="2"/>
        <v>No</v>
      </c>
      <c r="R7" s="6">
        <f t="shared" si="3"/>
        <v>0</v>
      </c>
    </row>
    <row r="8" spans="1:18" ht="20.100000000000001" customHeight="1" x14ac:dyDescent="0.25">
      <c r="A8" s="45">
        <v>2</v>
      </c>
      <c r="B8" s="4"/>
      <c r="C8" s="4"/>
      <c r="D8" s="4"/>
      <c r="E8" s="47"/>
      <c r="F8" s="47"/>
      <c r="G8" s="47"/>
      <c r="H8" s="47"/>
      <c r="I8" s="47"/>
      <c r="J8" s="47"/>
      <c r="K8" s="47"/>
      <c r="L8" s="5">
        <f t="shared" si="0"/>
        <v>0</v>
      </c>
      <c r="M8" s="16">
        <f t="shared" si="4"/>
        <v>0</v>
      </c>
      <c r="N8" s="17"/>
      <c r="O8" s="5">
        <f t="shared" si="5"/>
        <v>0</v>
      </c>
      <c r="P8" s="17"/>
      <c r="Q8" s="9" t="str">
        <f t="shared" si="2"/>
        <v>No</v>
      </c>
      <c r="R8" s="6">
        <f t="shared" si="3"/>
        <v>0</v>
      </c>
    </row>
    <row r="9" spans="1:18" ht="20.100000000000001" customHeight="1" x14ac:dyDescent="0.25">
      <c r="A9" s="45">
        <v>2</v>
      </c>
      <c r="B9" s="4"/>
      <c r="C9" s="4"/>
      <c r="D9" s="4"/>
      <c r="E9" s="47"/>
      <c r="F9" s="47"/>
      <c r="G9" s="47"/>
      <c r="H9" s="47"/>
      <c r="I9" s="47"/>
      <c r="J9" s="47"/>
      <c r="K9" s="47"/>
      <c r="L9" s="5">
        <f t="shared" si="0"/>
        <v>0</v>
      </c>
      <c r="M9" s="16">
        <f t="shared" si="4"/>
        <v>0</v>
      </c>
      <c r="N9" s="17"/>
      <c r="O9" s="5">
        <f t="shared" si="5"/>
        <v>0</v>
      </c>
      <c r="P9" s="17"/>
      <c r="Q9" s="9" t="str">
        <f t="shared" si="2"/>
        <v>No</v>
      </c>
      <c r="R9" s="6">
        <f t="shared" si="3"/>
        <v>0</v>
      </c>
    </row>
    <row r="10" spans="1:18" ht="20.100000000000001" customHeight="1" x14ac:dyDescent="0.25">
      <c r="A10" s="45">
        <v>2</v>
      </c>
      <c r="B10" s="4"/>
      <c r="C10" s="4"/>
      <c r="D10" s="4"/>
      <c r="E10" s="47"/>
      <c r="F10" s="47"/>
      <c r="G10" s="47"/>
      <c r="H10" s="47"/>
      <c r="I10" s="47"/>
      <c r="J10" s="47"/>
      <c r="K10" s="47"/>
      <c r="L10" s="5">
        <f t="shared" si="0"/>
        <v>0</v>
      </c>
      <c r="M10" s="16">
        <f t="shared" si="4"/>
        <v>0</v>
      </c>
      <c r="N10" s="17"/>
      <c r="O10" s="5">
        <f t="shared" si="5"/>
        <v>0</v>
      </c>
      <c r="P10" s="17"/>
      <c r="Q10" s="9" t="str">
        <f t="shared" si="2"/>
        <v>No</v>
      </c>
      <c r="R10" s="6">
        <f t="shared" si="3"/>
        <v>0</v>
      </c>
    </row>
    <row r="11" spans="1:18" ht="20.100000000000001" customHeight="1" thickBot="1" x14ac:dyDescent="0.3">
      <c r="A11" s="45">
        <v>2</v>
      </c>
      <c r="B11" s="4"/>
      <c r="C11" s="4"/>
      <c r="D11" s="4"/>
      <c r="E11" s="47"/>
      <c r="F11" s="47"/>
      <c r="G11" s="47"/>
      <c r="H11" s="47"/>
      <c r="I11" s="47"/>
      <c r="J11" s="47"/>
      <c r="K11" s="47"/>
      <c r="L11" s="5">
        <f t="shared" si="0"/>
        <v>0</v>
      </c>
      <c r="M11" s="16">
        <f t="shared" si="4"/>
        <v>0</v>
      </c>
      <c r="N11" s="17"/>
      <c r="O11" s="5">
        <f t="shared" si="5"/>
        <v>0</v>
      </c>
      <c r="P11" s="17"/>
      <c r="Q11" s="9" t="str">
        <f t="shared" si="2"/>
        <v>No</v>
      </c>
      <c r="R11" s="6">
        <f t="shared" si="3"/>
        <v>0</v>
      </c>
    </row>
    <row r="12" spans="1:18" ht="20.100000000000001" customHeight="1" thickBot="1" x14ac:dyDescent="0.3">
      <c r="A12" s="45">
        <v>2</v>
      </c>
      <c r="B12" s="32"/>
      <c r="C12" s="32"/>
      <c r="D12" s="33"/>
      <c r="E12" s="47"/>
      <c r="F12" s="47"/>
      <c r="G12" s="47"/>
      <c r="H12" s="47"/>
      <c r="I12" s="47"/>
      <c r="J12" s="47"/>
      <c r="K12" s="47"/>
      <c r="L12" s="5">
        <f t="shared" si="0"/>
        <v>0</v>
      </c>
      <c r="M12" s="16">
        <f t="shared" si="4"/>
        <v>0</v>
      </c>
      <c r="N12" s="17"/>
      <c r="O12" s="5">
        <f t="shared" si="5"/>
        <v>0</v>
      </c>
      <c r="P12" s="17"/>
      <c r="Q12" s="9" t="str">
        <f t="shared" si="2"/>
        <v>No</v>
      </c>
      <c r="R12" s="6">
        <f t="shared" si="3"/>
        <v>0</v>
      </c>
    </row>
    <row r="13" spans="1:18" ht="20.100000000000001" customHeight="1" thickBot="1" x14ac:dyDescent="0.3">
      <c r="A13" s="45">
        <v>2</v>
      </c>
      <c r="B13" s="32"/>
      <c r="C13" s="32"/>
      <c r="D13" s="34"/>
      <c r="E13" s="47"/>
      <c r="F13" s="47"/>
      <c r="G13" s="47"/>
      <c r="H13" s="47"/>
      <c r="I13" s="47"/>
      <c r="J13" s="47"/>
      <c r="K13" s="47"/>
      <c r="L13" s="5">
        <f t="shared" si="0"/>
        <v>0</v>
      </c>
      <c r="M13" s="16">
        <f t="shared" si="4"/>
        <v>0</v>
      </c>
      <c r="N13" s="17"/>
      <c r="O13" s="5">
        <f t="shared" si="5"/>
        <v>0</v>
      </c>
      <c r="P13" s="17"/>
      <c r="Q13" s="9" t="str">
        <f t="shared" si="2"/>
        <v>No</v>
      </c>
      <c r="R13" s="6">
        <f t="shared" si="3"/>
        <v>0</v>
      </c>
    </row>
    <row r="14" spans="1:18" ht="20.100000000000001" customHeight="1" thickBot="1" x14ac:dyDescent="0.3">
      <c r="A14" s="45">
        <v>2</v>
      </c>
      <c r="B14" s="32"/>
      <c r="C14" s="32"/>
      <c r="D14" s="35"/>
      <c r="E14" s="47"/>
      <c r="F14" s="47"/>
      <c r="G14" s="47"/>
      <c r="H14" s="47"/>
      <c r="I14" s="47"/>
      <c r="J14" s="47"/>
      <c r="K14" s="47"/>
      <c r="L14" s="5">
        <f t="shared" si="0"/>
        <v>0</v>
      </c>
      <c r="M14" s="16">
        <f t="shared" si="4"/>
        <v>0</v>
      </c>
      <c r="N14" s="17"/>
      <c r="O14" s="5">
        <f t="shared" si="5"/>
        <v>0</v>
      </c>
      <c r="P14" s="17"/>
      <c r="Q14" s="9" t="str">
        <f t="shared" si="2"/>
        <v>No</v>
      </c>
      <c r="R14" s="6">
        <f t="shared" si="3"/>
        <v>0</v>
      </c>
    </row>
    <row r="15" spans="1:18" ht="20.100000000000001" customHeight="1" thickBot="1" x14ac:dyDescent="0.3">
      <c r="A15" s="45">
        <v>2</v>
      </c>
      <c r="B15" s="32"/>
      <c r="C15" s="32"/>
      <c r="D15" s="35"/>
      <c r="E15" s="47"/>
      <c r="F15" s="47"/>
      <c r="G15" s="47"/>
      <c r="H15" s="47"/>
      <c r="I15" s="47"/>
      <c r="J15" s="47"/>
      <c r="K15" s="47"/>
      <c r="L15" s="5">
        <f t="shared" si="0"/>
        <v>0</v>
      </c>
      <c r="M15" s="16">
        <f t="shared" si="4"/>
        <v>0</v>
      </c>
      <c r="N15" s="17"/>
      <c r="O15" s="5">
        <f t="shared" si="5"/>
        <v>0</v>
      </c>
      <c r="P15" s="17"/>
      <c r="Q15" s="9" t="str">
        <f t="shared" si="2"/>
        <v>No</v>
      </c>
      <c r="R15" s="6">
        <f t="shared" si="3"/>
        <v>0</v>
      </c>
    </row>
    <row r="16" spans="1:18" ht="20.100000000000001" customHeight="1" thickBot="1" x14ac:dyDescent="0.3">
      <c r="A16" s="45">
        <v>2</v>
      </c>
      <c r="B16" s="32"/>
      <c r="C16" s="32"/>
      <c r="D16" s="35"/>
      <c r="E16" s="47"/>
      <c r="F16" s="47"/>
      <c r="G16" s="47"/>
      <c r="H16" s="47"/>
      <c r="I16" s="47"/>
      <c r="J16" s="47"/>
      <c r="K16" s="47"/>
      <c r="L16" s="5">
        <f t="shared" si="0"/>
        <v>0</v>
      </c>
      <c r="M16" s="16">
        <f t="shared" si="4"/>
        <v>0</v>
      </c>
      <c r="N16" s="17"/>
      <c r="O16" s="5">
        <f t="shared" si="5"/>
        <v>0</v>
      </c>
      <c r="P16" s="17"/>
      <c r="Q16" s="9" t="str">
        <f t="shared" si="2"/>
        <v>No</v>
      </c>
      <c r="R16" s="6">
        <f t="shared" si="3"/>
        <v>0</v>
      </c>
    </row>
    <row r="17" spans="1:18" ht="20.100000000000001" customHeight="1" thickBot="1" x14ac:dyDescent="0.3">
      <c r="A17" s="45">
        <v>2</v>
      </c>
      <c r="B17" s="32"/>
      <c r="C17" s="32"/>
      <c r="D17" s="35"/>
      <c r="E17" s="47"/>
      <c r="F17" s="47"/>
      <c r="G17" s="47"/>
      <c r="H17" s="47"/>
      <c r="I17" s="47"/>
      <c r="J17" s="47"/>
      <c r="K17" s="47"/>
      <c r="L17" s="5">
        <f t="shared" si="0"/>
        <v>0</v>
      </c>
      <c r="M17" s="16">
        <f t="shared" si="4"/>
        <v>0</v>
      </c>
      <c r="N17" s="17"/>
      <c r="O17" s="5">
        <f t="shared" si="5"/>
        <v>0</v>
      </c>
      <c r="P17" s="17"/>
      <c r="Q17" s="9" t="str">
        <f t="shared" si="2"/>
        <v>No</v>
      </c>
      <c r="R17" s="6">
        <f t="shared" si="3"/>
        <v>0</v>
      </c>
    </row>
    <row r="18" spans="1:18" ht="20.100000000000001" customHeight="1" thickBot="1" x14ac:dyDescent="0.3">
      <c r="A18" s="45">
        <v>2</v>
      </c>
      <c r="B18" s="32"/>
      <c r="C18" s="36"/>
      <c r="D18" s="37"/>
      <c r="E18" s="47"/>
      <c r="F18" s="47"/>
      <c r="G18" s="47"/>
      <c r="H18" s="47"/>
      <c r="I18" s="47"/>
      <c r="J18" s="47"/>
      <c r="K18" s="47"/>
      <c r="L18" s="5">
        <f t="shared" si="0"/>
        <v>0</v>
      </c>
      <c r="M18" s="16">
        <f t="shared" si="4"/>
        <v>0</v>
      </c>
      <c r="N18" s="17"/>
      <c r="O18" s="5">
        <f t="shared" si="5"/>
        <v>0</v>
      </c>
      <c r="P18" s="17"/>
      <c r="Q18" s="9" t="str">
        <f t="shared" si="2"/>
        <v>No</v>
      </c>
      <c r="R18" s="6">
        <f t="shared" si="3"/>
        <v>0</v>
      </c>
    </row>
    <row r="19" spans="1:18" ht="20.100000000000001" customHeight="1" thickBot="1" x14ac:dyDescent="0.3">
      <c r="A19" s="45">
        <v>2</v>
      </c>
      <c r="B19" s="32"/>
      <c r="C19" s="32"/>
      <c r="D19" s="38"/>
      <c r="E19" s="47"/>
      <c r="F19" s="47"/>
      <c r="G19" s="47"/>
      <c r="H19" s="47"/>
      <c r="I19" s="47"/>
      <c r="J19" s="47"/>
      <c r="K19" s="47"/>
      <c r="L19" s="5">
        <f t="shared" si="0"/>
        <v>0</v>
      </c>
      <c r="M19" s="16">
        <f t="shared" si="4"/>
        <v>0</v>
      </c>
      <c r="N19" s="17"/>
      <c r="O19" s="5">
        <f t="shared" si="5"/>
        <v>0</v>
      </c>
      <c r="P19" s="17"/>
      <c r="Q19" s="9" t="str">
        <f t="shared" si="2"/>
        <v>No</v>
      </c>
      <c r="R19" s="6">
        <f t="shared" si="3"/>
        <v>0</v>
      </c>
    </row>
    <row r="20" spans="1:18" ht="20.100000000000001" customHeight="1" thickBot="1" x14ac:dyDescent="0.3">
      <c r="A20" s="45">
        <v>2</v>
      </c>
      <c r="B20" s="32"/>
      <c r="C20" s="32"/>
      <c r="D20" s="39"/>
      <c r="E20" s="47"/>
      <c r="F20" s="47"/>
      <c r="G20" s="47"/>
      <c r="H20" s="47"/>
      <c r="I20" s="47"/>
      <c r="J20" s="47"/>
      <c r="K20" s="47"/>
      <c r="L20" s="5">
        <f t="shared" si="0"/>
        <v>0</v>
      </c>
      <c r="M20" s="16">
        <f t="shared" si="4"/>
        <v>0</v>
      </c>
      <c r="N20" s="17"/>
      <c r="O20" s="5">
        <f t="shared" si="5"/>
        <v>0</v>
      </c>
      <c r="P20" s="17"/>
      <c r="Q20" s="9" t="str">
        <f t="shared" si="2"/>
        <v>No</v>
      </c>
      <c r="R20" s="6">
        <f t="shared" si="3"/>
        <v>0</v>
      </c>
    </row>
    <row r="21" spans="1:18" ht="20.100000000000001" customHeight="1" thickBot="1" x14ac:dyDescent="0.3">
      <c r="A21" s="45">
        <v>2</v>
      </c>
      <c r="B21" s="32"/>
      <c r="C21" s="32"/>
      <c r="D21" s="40"/>
      <c r="E21" s="47"/>
      <c r="F21" s="47"/>
      <c r="G21" s="47"/>
      <c r="H21" s="47"/>
      <c r="I21" s="47"/>
      <c r="J21" s="47"/>
      <c r="K21" s="47"/>
      <c r="L21" s="5">
        <f t="shared" si="0"/>
        <v>0</v>
      </c>
      <c r="M21" s="16">
        <f t="shared" si="4"/>
        <v>0</v>
      </c>
      <c r="N21" s="17"/>
      <c r="O21" s="5">
        <f t="shared" si="5"/>
        <v>0</v>
      </c>
      <c r="P21" s="17"/>
      <c r="Q21" s="9" t="str">
        <f t="shared" si="2"/>
        <v>No</v>
      </c>
      <c r="R21" s="6">
        <f t="shared" si="3"/>
        <v>0</v>
      </c>
    </row>
    <row r="22" spans="1:18" ht="20.100000000000001" customHeight="1" x14ac:dyDescent="0.25">
      <c r="A22" s="45">
        <v>2</v>
      </c>
      <c r="B22" s="4"/>
      <c r="C22" s="4"/>
      <c r="D22" s="4"/>
      <c r="E22" s="47"/>
      <c r="F22" s="47"/>
      <c r="G22" s="47"/>
      <c r="H22" s="47"/>
      <c r="I22" s="47"/>
      <c r="J22" s="47"/>
      <c r="K22" s="47"/>
      <c r="L22" s="5">
        <f t="shared" ref="L22:L67" si="6">SUM(H22*1)+(I22*2)+(J22*3)+(K22*4)</f>
        <v>0</v>
      </c>
      <c r="M22" s="16">
        <f t="shared" si="4"/>
        <v>0</v>
      </c>
      <c r="N22" s="17"/>
      <c r="O22" s="5">
        <f t="shared" si="5"/>
        <v>0</v>
      </c>
      <c r="P22" s="17"/>
      <c r="Q22" s="9" t="str">
        <f t="shared" ref="Q22:Q67" si="7">IF(AND(R22&gt;25,P22="Y"),"Yes","No")</f>
        <v>No</v>
      </c>
      <c r="R22" s="6">
        <f t="shared" ref="R22:R67" si="8">SUM(E22*3)+(F22*2)+(G22*1)+(O22)</f>
        <v>0</v>
      </c>
    </row>
    <row r="23" spans="1:18" ht="20.100000000000001" customHeight="1" x14ac:dyDescent="0.25">
      <c r="A23" s="45">
        <v>2</v>
      </c>
      <c r="B23" s="4"/>
      <c r="C23" s="4"/>
      <c r="D23" s="4"/>
      <c r="E23" s="47"/>
      <c r="F23" s="47"/>
      <c r="G23" s="47"/>
      <c r="H23" s="47"/>
      <c r="I23" s="47"/>
      <c r="J23" s="47"/>
      <c r="K23" s="47"/>
      <c r="L23" s="5">
        <f t="shared" si="6"/>
        <v>0</v>
      </c>
      <c r="M23" s="16">
        <f t="shared" si="4"/>
        <v>0</v>
      </c>
      <c r="N23" s="17"/>
      <c r="O23" s="5">
        <f t="shared" si="5"/>
        <v>0</v>
      </c>
      <c r="P23" s="17"/>
      <c r="Q23" s="9" t="str">
        <f t="shared" si="7"/>
        <v>No</v>
      </c>
      <c r="R23" s="6">
        <f t="shared" si="8"/>
        <v>0</v>
      </c>
    </row>
    <row r="24" spans="1:18" ht="20.100000000000001" customHeight="1" x14ac:dyDescent="0.25">
      <c r="A24" s="45">
        <v>2</v>
      </c>
      <c r="B24" s="4"/>
      <c r="C24" s="4"/>
      <c r="D24" s="4"/>
      <c r="E24" s="47"/>
      <c r="F24" s="47"/>
      <c r="G24" s="47"/>
      <c r="H24" s="47"/>
      <c r="I24" s="47"/>
      <c r="J24" s="47"/>
      <c r="K24" s="47"/>
      <c r="L24" s="5">
        <f t="shared" si="6"/>
        <v>0</v>
      </c>
      <c r="M24" s="16">
        <f t="shared" si="4"/>
        <v>0</v>
      </c>
      <c r="N24" s="17"/>
      <c r="O24" s="5">
        <f t="shared" si="5"/>
        <v>0</v>
      </c>
      <c r="P24" s="17"/>
      <c r="Q24" s="9" t="str">
        <f t="shared" si="7"/>
        <v>No</v>
      </c>
      <c r="R24" s="6">
        <f t="shared" si="8"/>
        <v>0</v>
      </c>
    </row>
    <row r="25" spans="1:18" ht="20.100000000000001" customHeight="1" x14ac:dyDescent="0.25">
      <c r="A25" s="45">
        <v>2</v>
      </c>
      <c r="B25" s="4"/>
      <c r="C25" s="4"/>
      <c r="D25" s="4"/>
      <c r="E25" s="47"/>
      <c r="F25" s="47"/>
      <c r="G25" s="47"/>
      <c r="H25" s="47"/>
      <c r="I25" s="47"/>
      <c r="J25" s="47"/>
      <c r="K25" s="47"/>
      <c r="L25" s="5">
        <f t="shared" si="6"/>
        <v>0</v>
      </c>
      <c r="M25" s="16">
        <f t="shared" si="4"/>
        <v>0</v>
      </c>
      <c r="N25" s="17"/>
      <c r="O25" s="5">
        <f t="shared" si="5"/>
        <v>0</v>
      </c>
      <c r="P25" s="17"/>
      <c r="Q25" s="9" t="str">
        <f t="shared" si="7"/>
        <v>No</v>
      </c>
      <c r="R25" s="6">
        <f t="shared" si="8"/>
        <v>0</v>
      </c>
    </row>
    <row r="26" spans="1:18" ht="20.100000000000001" customHeight="1" x14ac:dyDescent="0.25">
      <c r="A26" s="45">
        <v>2</v>
      </c>
      <c r="B26" s="4"/>
      <c r="C26" s="4"/>
      <c r="D26" s="4"/>
      <c r="E26" s="47"/>
      <c r="F26" s="47"/>
      <c r="G26" s="47"/>
      <c r="H26" s="47"/>
      <c r="I26" s="47"/>
      <c r="J26" s="47"/>
      <c r="K26" s="47"/>
      <c r="L26" s="5">
        <f t="shared" si="6"/>
        <v>0</v>
      </c>
      <c r="M26" s="16">
        <f t="shared" si="4"/>
        <v>0</v>
      </c>
      <c r="N26" s="17"/>
      <c r="O26" s="5">
        <f t="shared" si="5"/>
        <v>0</v>
      </c>
      <c r="P26" s="17"/>
      <c r="Q26" s="9" t="str">
        <f t="shared" si="7"/>
        <v>No</v>
      </c>
      <c r="R26" s="6">
        <f t="shared" si="8"/>
        <v>0</v>
      </c>
    </row>
    <row r="27" spans="1:18" ht="20.100000000000001" customHeight="1" x14ac:dyDescent="0.25">
      <c r="A27" s="45">
        <v>2</v>
      </c>
      <c r="B27" s="4"/>
      <c r="C27" s="4"/>
      <c r="D27" s="4"/>
      <c r="E27" s="47"/>
      <c r="F27" s="47"/>
      <c r="G27" s="47"/>
      <c r="H27" s="47"/>
      <c r="I27" s="47"/>
      <c r="J27" s="47"/>
      <c r="K27" s="47"/>
      <c r="L27" s="5">
        <f t="shared" si="6"/>
        <v>0</v>
      </c>
      <c r="M27" s="16">
        <f t="shared" si="4"/>
        <v>0</v>
      </c>
      <c r="N27" s="17"/>
      <c r="O27" s="5">
        <f t="shared" si="5"/>
        <v>0</v>
      </c>
      <c r="P27" s="17"/>
      <c r="Q27" s="9" t="str">
        <f t="shared" si="7"/>
        <v>No</v>
      </c>
      <c r="R27" s="6">
        <f t="shared" si="8"/>
        <v>0</v>
      </c>
    </row>
    <row r="28" spans="1:18" ht="20.100000000000001" customHeight="1" x14ac:dyDescent="0.25">
      <c r="A28" s="45">
        <v>2</v>
      </c>
      <c r="B28" s="4"/>
      <c r="C28" s="4"/>
      <c r="D28" s="4"/>
      <c r="E28" s="47"/>
      <c r="F28" s="47"/>
      <c r="G28" s="47"/>
      <c r="H28" s="47"/>
      <c r="I28" s="47"/>
      <c r="J28" s="47"/>
      <c r="K28" s="47"/>
      <c r="L28" s="5">
        <f t="shared" si="6"/>
        <v>0</v>
      </c>
      <c r="M28" s="16">
        <f t="shared" si="4"/>
        <v>0</v>
      </c>
      <c r="N28" s="17"/>
      <c r="O28" s="5">
        <f t="shared" si="5"/>
        <v>0</v>
      </c>
      <c r="P28" s="17"/>
      <c r="Q28" s="9" t="str">
        <f t="shared" si="7"/>
        <v>No</v>
      </c>
      <c r="R28" s="6">
        <f t="shared" si="8"/>
        <v>0</v>
      </c>
    </row>
    <row r="29" spans="1:18" ht="20.100000000000001" customHeight="1" x14ac:dyDescent="0.25">
      <c r="A29" s="45">
        <v>2</v>
      </c>
      <c r="B29" s="4"/>
      <c r="C29" s="4"/>
      <c r="D29" s="4"/>
      <c r="E29" s="47"/>
      <c r="F29" s="47"/>
      <c r="G29" s="47"/>
      <c r="H29" s="47"/>
      <c r="I29" s="47"/>
      <c r="J29" s="47"/>
      <c r="K29" s="47"/>
      <c r="L29" s="5">
        <f t="shared" si="6"/>
        <v>0</v>
      </c>
      <c r="M29" s="16">
        <f t="shared" si="4"/>
        <v>0</v>
      </c>
      <c r="N29" s="17"/>
      <c r="O29" s="5">
        <f t="shared" si="5"/>
        <v>0</v>
      </c>
      <c r="P29" s="17"/>
      <c r="Q29" s="9" t="str">
        <f t="shared" si="7"/>
        <v>No</v>
      </c>
      <c r="R29" s="6">
        <f t="shared" si="8"/>
        <v>0</v>
      </c>
    </row>
    <row r="30" spans="1:18" ht="20.100000000000001" customHeight="1" x14ac:dyDescent="0.25">
      <c r="A30" s="45">
        <v>2</v>
      </c>
      <c r="B30" s="4"/>
      <c r="C30" s="4"/>
      <c r="D30" s="4"/>
      <c r="E30" s="47"/>
      <c r="F30" s="47"/>
      <c r="G30" s="47"/>
      <c r="H30" s="47"/>
      <c r="I30" s="47"/>
      <c r="J30" s="47"/>
      <c r="K30" s="47"/>
      <c r="L30" s="5">
        <f t="shared" si="6"/>
        <v>0</v>
      </c>
      <c r="M30" s="16">
        <f t="shared" si="4"/>
        <v>0</v>
      </c>
      <c r="N30" s="17"/>
      <c r="O30" s="5">
        <f t="shared" si="5"/>
        <v>0</v>
      </c>
      <c r="P30" s="17"/>
      <c r="Q30" s="9" t="str">
        <f t="shared" si="7"/>
        <v>No</v>
      </c>
      <c r="R30" s="6">
        <f t="shared" si="8"/>
        <v>0</v>
      </c>
    </row>
    <row r="31" spans="1:18" ht="20.100000000000001" customHeight="1" x14ac:dyDescent="0.25">
      <c r="A31" s="45">
        <v>2</v>
      </c>
      <c r="B31" s="4"/>
      <c r="C31" s="4"/>
      <c r="D31" s="4"/>
      <c r="E31" s="47"/>
      <c r="F31" s="47"/>
      <c r="G31" s="47"/>
      <c r="H31" s="47"/>
      <c r="I31" s="47"/>
      <c r="J31" s="47"/>
      <c r="K31" s="47"/>
      <c r="L31" s="5">
        <f t="shared" si="6"/>
        <v>0</v>
      </c>
      <c r="M31" s="16">
        <f t="shared" si="4"/>
        <v>0</v>
      </c>
      <c r="N31" s="17"/>
      <c r="O31" s="5">
        <f t="shared" si="5"/>
        <v>0</v>
      </c>
      <c r="P31" s="17"/>
      <c r="Q31" s="9" t="str">
        <f t="shared" si="7"/>
        <v>No</v>
      </c>
      <c r="R31" s="6">
        <f t="shared" si="8"/>
        <v>0</v>
      </c>
    </row>
    <row r="32" spans="1:18" ht="20.100000000000001" customHeight="1" x14ac:dyDescent="0.25">
      <c r="A32" s="45">
        <v>2</v>
      </c>
      <c r="B32" s="4"/>
      <c r="C32" s="4"/>
      <c r="D32" s="4"/>
      <c r="E32" s="47"/>
      <c r="F32" s="47"/>
      <c r="G32" s="47"/>
      <c r="H32" s="47"/>
      <c r="I32" s="47"/>
      <c r="J32" s="47"/>
      <c r="K32" s="47"/>
      <c r="L32" s="5">
        <f t="shared" si="6"/>
        <v>0</v>
      </c>
      <c r="M32" s="16">
        <f t="shared" si="4"/>
        <v>0</v>
      </c>
      <c r="N32" s="17"/>
      <c r="O32" s="5">
        <f t="shared" si="5"/>
        <v>0</v>
      </c>
      <c r="P32" s="17"/>
      <c r="Q32" s="9" t="str">
        <f t="shared" si="7"/>
        <v>No</v>
      </c>
      <c r="R32" s="6">
        <f t="shared" si="8"/>
        <v>0</v>
      </c>
    </row>
    <row r="33" spans="1:18" ht="20.100000000000001" customHeight="1" x14ac:dyDescent="0.25">
      <c r="A33" s="45">
        <v>2</v>
      </c>
      <c r="B33" s="4"/>
      <c r="C33" s="4"/>
      <c r="D33" s="4"/>
      <c r="E33" s="47"/>
      <c r="F33" s="47"/>
      <c r="G33" s="47"/>
      <c r="H33" s="47"/>
      <c r="I33" s="47"/>
      <c r="J33" s="47"/>
      <c r="K33" s="47"/>
      <c r="L33" s="5">
        <f t="shared" si="6"/>
        <v>0</v>
      </c>
      <c r="M33" s="16">
        <f t="shared" si="4"/>
        <v>0</v>
      </c>
      <c r="N33" s="17"/>
      <c r="O33" s="5">
        <f t="shared" si="5"/>
        <v>0</v>
      </c>
      <c r="P33" s="17"/>
      <c r="Q33" s="9" t="str">
        <f t="shared" si="7"/>
        <v>No</v>
      </c>
      <c r="R33" s="6">
        <f t="shared" si="8"/>
        <v>0</v>
      </c>
    </row>
    <row r="34" spans="1:18" ht="20.100000000000001" customHeight="1" x14ac:dyDescent="0.25">
      <c r="A34" s="45">
        <v>2</v>
      </c>
      <c r="B34" s="4"/>
      <c r="C34" s="4"/>
      <c r="D34" s="4"/>
      <c r="E34" s="47"/>
      <c r="F34" s="47"/>
      <c r="G34" s="47"/>
      <c r="H34" s="47"/>
      <c r="I34" s="47"/>
      <c r="J34" s="47"/>
      <c r="K34" s="47"/>
      <c r="L34" s="5">
        <f t="shared" si="6"/>
        <v>0</v>
      </c>
      <c r="M34" s="16">
        <f t="shared" si="4"/>
        <v>0</v>
      </c>
      <c r="N34" s="17"/>
      <c r="O34" s="5">
        <f t="shared" si="5"/>
        <v>0</v>
      </c>
      <c r="P34" s="17"/>
      <c r="Q34" s="9" t="str">
        <f t="shared" si="7"/>
        <v>No</v>
      </c>
      <c r="R34" s="6">
        <f t="shared" si="8"/>
        <v>0</v>
      </c>
    </row>
    <row r="35" spans="1:18" ht="20.100000000000001" customHeight="1" x14ac:dyDescent="0.25">
      <c r="A35" s="45">
        <v>2</v>
      </c>
      <c r="B35" s="4"/>
      <c r="C35" s="4"/>
      <c r="D35" s="4"/>
      <c r="E35" s="47"/>
      <c r="F35" s="47"/>
      <c r="G35" s="47"/>
      <c r="H35" s="47"/>
      <c r="I35" s="47"/>
      <c r="J35" s="47"/>
      <c r="K35" s="47"/>
      <c r="L35" s="5">
        <f t="shared" si="6"/>
        <v>0</v>
      </c>
      <c r="M35" s="16">
        <f t="shared" si="4"/>
        <v>0</v>
      </c>
      <c r="N35" s="17"/>
      <c r="O35" s="5">
        <f t="shared" si="5"/>
        <v>0</v>
      </c>
      <c r="P35" s="17"/>
      <c r="Q35" s="9" t="str">
        <f t="shared" si="7"/>
        <v>No</v>
      </c>
      <c r="R35" s="6">
        <f t="shared" si="8"/>
        <v>0</v>
      </c>
    </row>
    <row r="36" spans="1:18" ht="20.100000000000001" customHeight="1" x14ac:dyDescent="0.25">
      <c r="A36" s="45">
        <v>2</v>
      </c>
      <c r="B36" s="4"/>
      <c r="C36" s="4"/>
      <c r="D36" s="4"/>
      <c r="E36" s="47"/>
      <c r="F36" s="47"/>
      <c r="G36" s="47"/>
      <c r="H36" s="47"/>
      <c r="I36" s="47"/>
      <c r="J36" s="47"/>
      <c r="K36" s="47"/>
      <c r="L36" s="5">
        <f t="shared" si="6"/>
        <v>0</v>
      </c>
      <c r="M36" s="16">
        <f t="shared" si="4"/>
        <v>0</v>
      </c>
      <c r="N36" s="17"/>
      <c r="O36" s="5">
        <f t="shared" si="5"/>
        <v>0</v>
      </c>
      <c r="P36" s="17"/>
      <c r="Q36" s="9" t="str">
        <f t="shared" si="7"/>
        <v>No</v>
      </c>
      <c r="R36" s="6">
        <f t="shared" si="8"/>
        <v>0</v>
      </c>
    </row>
    <row r="37" spans="1:18" ht="20.100000000000001" customHeight="1" x14ac:dyDescent="0.25">
      <c r="A37" s="45">
        <v>2</v>
      </c>
      <c r="B37" s="4"/>
      <c r="C37" s="4"/>
      <c r="D37" s="4"/>
      <c r="E37" s="47"/>
      <c r="F37" s="47"/>
      <c r="G37" s="47"/>
      <c r="H37" s="47"/>
      <c r="I37" s="47"/>
      <c r="J37" s="47"/>
      <c r="K37" s="47"/>
      <c r="L37" s="5">
        <f t="shared" si="6"/>
        <v>0</v>
      </c>
      <c r="M37" s="16">
        <f t="shared" si="4"/>
        <v>0</v>
      </c>
      <c r="N37" s="17"/>
      <c r="O37" s="5">
        <f t="shared" si="5"/>
        <v>0</v>
      </c>
      <c r="P37" s="17"/>
      <c r="Q37" s="9" t="str">
        <f t="shared" si="7"/>
        <v>No</v>
      </c>
      <c r="R37" s="6">
        <f t="shared" si="8"/>
        <v>0</v>
      </c>
    </row>
    <row r="38" spans="1:18" ht="20.100000000000001" customHeight="1" x14ac:dyDescent="0.25">
      <c r="A38" s="45">
        <v>2</v>
      </c>
      <c r="B38" s="4"/>
      <c r="C38" s="4"/>
      <c r="D38" s="4"/>
      <c r="E38" s="47"/>
      <c r="F38" s="47"/>
      <c r="G38" s="47"/>
      <c r="H38" s="47"/>
      <c r="I38" s="47"/>
      <c r="J38" s="47"/>
      <c r="K38" s="47"/>
      <c r="L38" s="5">
        <f t="shared" si="6"/>
        <v>0</v>
      </c>
      <c r="M38" s="16">
        <f t="shared" si="4"/>
        <v>0</v>
      </c>
      <c r="N38" s="17"/>
      <c r="O38" s="5">
        <f t="shared" si="5"/>
        <v>0</v>
      </c>
      <c r="P38" s="17"/>
      <c r="Q38" s="9" t="str">
        <f t="shared" si="7"/>
        <v>No</v>
      </c>
      <c r="R38" s="6">
        <f t="shared" si="8"/>
        <v>0</v>
      </c>
    </row>
    <row r="39" spans="1:18" ht="20.100000000000001" customHeight="1" x14ac:dyDescent="0.25">
      <c r="A39" s="45">
        <v>2</v>
      </c>
      <c r="B39" s="4"/>
      <c r="C39" s="4"/>
      <c r="D39" s="4"/>
      <c r="E39" s="47"/>
      <c r="F39" s="47"/>
      <c r="G39" s="47"/>
      <c r="H39" s="47"/>
      <c r="I39" s="47"/>
      <c r="J39" s="47"/>
      <c r="K39" s="47"/>
      <c r="L39" s="5">
        <f t="shared" si="6"/>
        <v>0</v>
      </c>
      <c r="M39" s="16">
        <f t="shared" si="4"/>
        <v>0</v>
      </c>
      <c r="N39" s="17"/>
      <c r="O39" s="5">
        <f t="shared" si="5"/>
        <v>0</v>
      </c>
      <c r="P39" s="17"/>
      <c r="Q39" s="9" t="str">
        <f t="shared" si="7"/>
        <v>No</v>
      </c>
      <c r="R39" s="6">
        <f t="shared" si="8"/>
        <v>0</v>
      </c>
    </row>
    <row r="40" spans="1:18" ht="20.100000000000001" customHeight="1" x14ac:dyDescent="0.25">
      <c r="A40" s="45">
        <v>2</v>
      </c>
      <c r="B40" s="4"/>
      <c r="C40" s="4"/>
      <c r="D40" s="4"/>
      <c r="E40" s="47"/>
      <c r="F40" s="47"/>
      <c r="G40" s="47"/>
      <c r="H40" s="47"/>
      <c r="I40" s="47"/>
      <c r="J40" s="47"/>
      <c r="K40" s="47"/>
      <c r="L40" s="5">
        <f t="shared" si="6"/>
        <v>0</v>
      </c>
      <c r="M40" s="16">
        <f t="shared" si="4"/>
        <v>0</v>
      </c>
      <c r="N40" s="17"/>
      <c r="O40" s="5">
        <f t="shared" si="5"/>
        <v>0</v>
      </c>
      <c r="P40" s="17"/>
      <c r="Q40" s="9" t="str">
        <f t="shared" si="7"/>
        <v>No</v>
      </c>
      <c r="R40" s="6">
        <f t="shared" si="8"/>
        <v>0</v>
      </c>
    </row>
    <row r="41" spans="1:18" ht="20.100000000000001" customHeight="1" x14ac:dyDescent="0.25">
      <c r="A41" s="45">
        <v>2</v>
      </c>
      <c r="B41" s="4"/>
      <c r="C41" s="4"/>
      <c r="D41" s="4"/>
      <c r="E41" s="47"/>
      <c r="F41" s="47"/>
      <c r="G41" s="47"/>
      <c r="H41" s="47"/>
      <c r="I41" s="47"/>
      <c r="J41" s="47"/>
      <c r="K41" s="47"/>
      <c r="L41" s="5">
        <f t="shared" si="6"/>
        <v>0</v>
      </c>
      <c r="M41" s="16">
        <f t="shared" si="4"/>
        <v>0</v>
      </c>
      <c r="N41" s="17"/>
      <c r="O41" s="5">
        <f t="shared" si="5"/>
        <v>0</v>
      </c>
      <c r="P41" s="17"/>
      <c r="Q41" s="9" t="str">
        <f t="shared" si="7"/>
        <v>No</v>
      </c>
      <c r="R41" s="6">
        <f t="shared" si="8"/>
        <v>0</v>
      </c>
    </row>
    <row r="42" spans="1:18" ht="20.100000000000001" customHeight="1" x14ac:dyDescent="0.25">
      <c r="A42" s="45">
        <v>2</v>
      </c>
      <c r="B42" s="4"/>
      <c r="C42" s="4"/>
      <c r="D42" s="4"/>
      <c r="E42" s="47"/>
      <c r="F42" s="47"/>
      <c r="G42" s="47"/>
      <c r="H42" s="47"/>
      <c r="I42" s="47"/>
      <c r="J42" s="47"/>
      <c r="K42" s="47"/>
      <c r="L42" s="5">
        <f t="shared" si="6"/>
        <v>0</v>
      </c>
      <c r="M42" s="16">
        <f t="shared" si="4"/>
        <v>0</v>
      </c>
      <c r="N42" s="17"/>
      <c r="O42" s="5">
        <f t="shared" si="5"/>
        <v>0</v>
      </c>
      <c r="P42" s="17"/>
      <c r="Q42" s="9" t="str">
        <f t="shared" si="7"/>
        <v>No</v>
      </c>
      <c r="R42" s="6">
        <f t="shared" si="8"/>
        <v>0</v>
      </c>
    </row>
    <row r="43" spans="1:18" ht="20.100000000000001" customHeight="1" x14ac:dyDescent="0.25">
      <c r="A43" s="45">
        <v>2</v>
      </c>
      <c r="B43" s="4"/>
      <c r="C43" s="4"/>
      <c r="D43" s="4"/>
      <c r="E43" s="47"/>
      <c r="F43" s="47"/>
      <c r="G43" s="47"/>
      <c r="H43" s="47"/>
      <c r="I43" s="47"/>
      <c r="J43" s="47"/>
      <c r="K43" s="47"/>
      <c r="L43" s="5">
        <f t="shared" si="6"/>
        <v>0</v>
      </c>
      <c r="M43" s="16">
        <f t="shared" si="4"/>
        <v>0</v>
      </c>
      <c r="N43" s="17"/>
      <c r="O43" s="5">
        <f t="shared" si="5"/>
        <v>0</v>
      </c>
      <c r="P43" s="17"/>
      <c r="Q43" s="9" t="str">
        <f t="shared" si="7"/>
        <v>No</v>
      </c>
      <c r="R43" s="6">
        <f t="shared" si="8"/>
        <v>0</v>
      </c>
    </row>
    <row r="44" spans="1:18" ht="20.100000000000001" customHeight="1" x14ac:dyDescent="0.25">
      <c r="A44" s="45">
        <v>2</v>
      </c>
      <c r="B44" s="4"/>
      <c r="C44" s="4"/>
      <c r="D44" s="4"/>
      <c r="E44" s="47"/>
      <c r="F44" s="47"/>
      <c r="G44" s="47"/>
      <c r="H44" s="47"/>
      <c r="I44" s="47"/>
      <c r="J44" s="47"/>
      <c r="K44" s="47"/>
      <c r="L44" s="5">
        <f t="shared" si="6"/>
        <v>0</v>
      </c>
      <c r="M44" s="16">
        <f t="shared" si="4"/>
        <v>0</v>
      </c>
      <c r="N44" s="17"/>
      <c r="O44" s="5">
        <f t="shared" si="5"/>
        <v>0</v>
      </c>
      <c r="P44" s="17"/>
      <c r="Q44" s="9" t="str">
        <f t="shared" si="7"/>
        <v>No</v>
      </c>
      <c r="R44" s="6">
        <f t="shared" si="8"/>
        <v>0</v>
      </c>
    </row>
    <row r="45" spans="1:18" ht="20.100000000000001" customHeight="1" x14ac:dyDescent="0.25">
      <c r="A45" s="45">
        <v>2</v>
      </c>
      <c r="B45" s="4"/>
      <c r="C45" s="4"/>
      <c r="D45" s="4"/>
      <c r="E45" s="47"/>
      <c r="F45" s="47"/>
      <c r="G45" s="47"/>
      <c r="H45" s="47"/>
      <c r="I45" s="47"/>
      <c r="J45" s="47"/>
      <c r="K45" s="47"/>
      <c r="L45" s="5">
        <f t="shared" si="6"/>
        <v>0</v>
      </c>
      <c r="M45" s="16">
        <f t="shared" si="4"/>
        <v>0</v>
      </c>
      <c r="N45" s="17"/>
      <c r="O45" s="5">
        <f t="shared" si="5"/>
        <v>0</v>
      </c>
      <c r="P45" s="17"/>
      <c r="Q45" s="9" t="str">
        <f t="shared" si="7"/>
        <v>No</v>
      </c>
      <c r="R45" s="6">
        <f t="shared" si="8"/>
        <v>0</v>
      </c>
    </row>
    <row r="46" spans="1:18" ht="20.100000000000001" customHeight="1" x14ac:dyDescent="0.25">
      <c r="A46" s="45">
        <v>2</v>
      </c>
      <c r="B46" s="4"/>
      <c r="C46" s="4"/>
      <c r="D46" s="4"/>
      <c r="E46" s="47"/>
      <c r="F46" s="47"/>
      <c r="G46" s="47"/>
      <c r="H46" s="47"/>
      <c r="I46" s="47"/>
      <c r="J46" s="47"/>
      <c r="K46" s="47"/>
      <c r="L46" s="5">
        <f t="shared" si="6"/>
        <v>0</v>
      </c>
      <c r="M46" s="16">
        <f t="shared" si="4"/>
        <v>0</v>
      </c>
      <c r="N46" s="17"/>
      <c r="O46" s="5">
        <f t="shared" si="5"/>
        <v>0</v>
      </c>
      <c r="P46" s="17"/>
      <c r="Q46" s="9" t="str">
        <f t="shared" si="7"/>
        <v>No</v>
      </c>
      <c r="R46" s="6">
        <f t="shared" si="8"/>
        <v>0</v>
      </c>
    </row>
    <row r="47" spans="1:18" ht="20.100000000000001" customHeight="1" x14ac:dyDescent="0.25">
      <c r="A47" s="45">
        <v>2</v>
      </c>
      <c r="B47" s="4"/>
      <c r="C47" s="4"/>
      <c r="D47" s="4"/>
      <c r="E47" s="47"/>
      <c r="F47" s="47"/>
      <c r="G47" s="47"/>
      <c r="H47" s="47"/>
      <c r="I47" s="47"/>
      <c r="J47" s="47"/>
      <c r="K47" s="47"/>
      <c r="L47" s="5">
        <f t="shared" si="6"/>
        <v>0</v>
      </c>
      <c r="M47" s="16">
        <f t="shared" si="4"/>
        <v>0</v>
      </c>
      <c r="N47" s="17"/>
      <c r="O47" s="5">
        <f t="shared" si="5"/>
        <v>0</v>
      </c>
      <c r="P47" s="17"/>
      <c r="Q47" s="9" t="str">
        <f t="shared" si="7"/>
        <v>No</v>
      </c>
      <c r="R47" s="6">
        <f t="shared" si="8"/>
        <v>0</v>
      </c>
    </row>
    <row r="48" spans="1:18" ht="20.100000000000001" customHeight="1" x14ac:dyDescent="0.25">
      <c r="A48" s="45">
        <v>2</v>
      </c>
      <c r="B48" s="4"/>
      <c r="C48" s="4"/>
      <c r="D48" s="4"/>
      <c r="E48" s="47"/>
      <c r="F48" s="47"/>
      <c r="G48" s="47"/>
      <c r="H48" s="47"/>
      <c r="I48" s="47"/>
      <c r="J48" s="47"/>
      <c r="K48" s="47"/>
      <c r="L48" s="5">
        <f t="shared" si="6"/>
        <v>0</v>
      </c>
      <c r="M48" s="16">
        <f t="shared" si="4"/>
        <v>0</v>
      </c>
      <c r="N48" s="17"/>
      <c r="O48" s="5">
        <f t="shared" si="5"/>
        <v>0</v>
      </c>
      <c r="P48" s="17"/>
      <c r="Q48" s="9" t="str">
        <f t="shared" si="7"/>
        <v>No</v>
      </c>
      <c r="R48" s="6">
        <f t="shared" si="8"/>
        <v>0</v>
      </c>
    </row>
    <row r="49" spans="1:18" ht="20.100000000000001" customHeight="1" x14ac:dyDescent="0.25">
      <c r="A49" s="45">
        <v>2</v>
      </c>
      <c r="B49" s="4"/>
      <c r="C49" s="4"/>
      <c r="D49" s="4"/>
      <c r="E49" s="47"/>
      <c r="F49" s="47"/>
      <c r="G49" s="47"/>
      <c r="H49" s="47"/>
      <c r="I49" s="47"/>
      <c r="J49" s="47"/>
      <c r="K49" s="47"/>
      <c r="L49" s="5">
        <f t="shared" si="6"/>
        <v>0</v>
      </c>
      <c r="M49" s="16">
        <f t="shared" si="4"/>
        <v>0</v>
      </c>
      <c r="N49" s="17"/>
      <c r="O49" s="5">
        <f t="shared" si="5"/>
        <v>0</v>
      </c>
      <c r="P49" s="17"/>
      <c r="Q49" s="9" t="str">
        <f t="shared" si="7"/>
        <v>No</v>
      </c>
      <c r="R49" s="6">
        <f t="shared" si="8"/>
        <v>0</v>
      </c>
    </row>
    <row r="50" spans="1:18" ht="20.100000000000001" customHeight="1" x14ac:dyDescent="0.25">
      <c r="A50" s="45">
        <v>2</v>
      </c>
      <c r="B50" s="4"/>
      <c r="C50" s="4"/>
      <c r="D50" s="4"/>
      <c r="E50" s="47"/>
      <c r="F50" s="47"/>
      <c r="G50" s="47"/>
      <c r="H50" s="47"/>
      <c r="I50" s="47"/>
      <c r="J50" s="47"/>
      <c r="K50" s="47"/>
      <c r="L50" s="5">
        <f t="shared" si="6"/>
        <v>0</v>
      </c>
      <c r="M50" s="16">
        <f t="shared" si="4"/>
        <v>0</v>
      </c>
      <c r="N50" s="17"/>
      <c r="O50" s="5">
        <f t="shared" si="5"/>
        <v>0</v>
      </c>
      <c r="P50" s="17"/>
      <c r="Q50" s="9" t="str">
        <f t="shared" si="7"/>
        <v>No</v>
      </c>
      <c r="R50" s="6">
        <f t="shared" si="8"/>
        <v>0</v>
      </c>
    </row>
    <row r="51" spans="1:18" ht="20.100000000000001" customHeight="1" x14ac:dyDescent="0.25">
      <c r="A51" s="45">
        <v>2</v>
      </c>
      <c r="B51" s="4"/>
      <c r="C51" s="4"/>
      <c r="D51" s="4"/>
      <c r="E51" s="47"/>
      <c r="F51" s="47"/>
      <c r="G51" s="47"/>
      <c r="H51" s="47"/>
      <c r="I51" s="47"/>
      <c r="J51" s="47"/>
      <c r="K51" s="47"/>
      <c r="L51" s="5">
        <f t="shared" si="6"/>
        <v>0</v>
      </c>
      <c r="M51" s="16">
        <f t="shared" si="4"/>
        <v>0</v>
      </c>
      <c r="N51" s="17"/>
      <c r="O51" s="5">
        <f t="shared" si="5"/>
        <v>0</v>
      </c>
      <c r="P51" s="17"/>
      <c r="Q51" s="9" t="str">
        <f t="shared" si="7"/>
        <v>No</v>
      </c>
      <c r="R51" s="6">
        <f t="shared" si="8"/>
        <v>0</v>
      </c>
    </row>
    <row r="52" spans="1:18" ht="20.100000000000001" customHeight="1" x14ac:dyDescent="0.25">
      <c r="A52" s="45">
        <v>2</v>
      </c>
      <c r="B52" s="4"/>
      <c r="C52" s="4"/>
      <c r="D52" s="4"/>
      <c r="E52" s="47"/>
      <c r="F52" s="47"/>
      <c r="G52" s="47"/>
      <c r="H52" s="47"/>
      <c r="I52" s="47"/>
      <c r="J52" s="47"/>
      <c r="K52" s="47"/>
      <c r="L52" s="5">
        <f t="shared" si="6"/>
        <v>0</v>
      </c>
      <c r="M52" s="16">
        <f t="shared" si="4"/>
        <v>0</v>
      </c>
      <c r="N52" s="17"/>
      <c r="O52" s="5">
        <f t="shared" si="5"/>
        <v>0</v>
      </c>
      <c r="P52" s="17"/>
      <c r="Q52" s="9" t="str">
        <f t="shared" si="7"/>
        <v>No</v>
      </c>
      <c r="R52" s="6">
        <f t="shared" si="8"/>
        <v>0</v>
      </c>
    </row>
    <row r="53" spans="1:18" ht="20.100000000000001" customHeight="1" x14ac:dyDescent="0.25">
      <c r="A53" s="45">
        <v>2</v>
      </c>
      <c r="B53" s="4"/>
      <c r="C53" s="4"/>
      <c r="D53" s="4"/>
      <c r="E53" s="47"/>
      <c r="F53" s="47"/>
      <c r="G53" s="47"/>
      <c r="H53" s="47"/>
      <c r="I53" s="47"/>
      <c r="J53" s="47"/>
      <c r="K53" s="47"/>
      <c r="L53" s="5">
        <f t="shared" si="6"/>
        <v>0</v>
      </c>
      <c r="M53" s="16">
        <f t="shared" si="4"/>
        <v>0</v>
      </c>
      <c r="N53" s="17"/>
      <c r="O53" s="5">
        <f t="shared" si="5"/>
        <v>0</v>
      </c>
      <c r="P53" s="17"/>
      <c r="Q53" s="9" t="str">
        <f t="shared" si="7"/>
        <v>No</v>
      </c>
      <c r="R53" s="6">
        <f t="shared" si="8"/>
        <v>0</v>
      </c>
    </row>
    <row r="54" spans="1:18" ht="20.100000000000001" customHeight="1" x14ac:dyDescent="0.25">
      <c r="A54" s="45">
        <v>2</v>
      </c>
      <c r="B54" s="4"/>
      <c r="C54" s="4"/>
      <c r="D54" s="4"/>
      <c r="E54" s="47"/>
      <c r="F54" s="47"/>
      <c r="G54" s="47"/>
      <c r="H54" s="47"/>
      <c r="I54" s="47"/>
      <c r="J54" s="47"/>
      <c r="K54" s="47"/>
      <c r="L54" s="5">
        <f t="shared" si="6"/>
        <v>0</v>
      </c>
      <c r="M54" s="16">
        <f t="shared" si="4"/>
        <v>0</v>
      </c>
      <c r="N54" s="17"/>
      <c r="O54" s="5">
        <f t="shared" si="5"/>
        <v>0</v>
      </c>
      <c r="P54" s="17"/>
      <c r="Q54" s="9" t="str">
        <f t="shared" si="7"/>
        <v>No</v>
      </c>
      <c r="R54" s="6">
        <f t="shared" si="8"/>
        <v>0</v>
      </c>
    </row>
    <row r="55" spans="1:18" ht="20.100000000000001" customHeight="1" x14ac:dyDescent="0.25">
      <c r="A55" s="45">
        <v>2</v>
      </c>
      <c r="B55" s="4"/>
      <c r="C55" s="4"/>
      <c r="D55" s="4"/>
      <c r="E55" s="47"/>
      <c r="F55" s="47"/>
      <c r="G55" s="47"/>
      <c r="H55" s="47"/>
      <c r="I55" s="47"/>
      <c r="J55" s="47"/>
      <c r="K55" s="47"/>
      <c r="L55" s="5">
        <f t="shared" si="6"/>
        <v>0</v>
      </c>
      <c r="M55" s="16">
        <f t="shared" si="4"/>
        <v>0</v>
      </c>
      <c r="N55" s="17"/>
      <c r="O55" s="5">
        <f t="shared" si="5"/>
        <v>0</v>
      </c>
      <c r="P55" s="17"/>
      <c r="Q55" s="9" t="str">
        <f t="shared" si="7"/>
        <v>No</v>
      </c>
      <c r="R55" s="6">
        <f t="shared" si="8"/>
        <v>0</v>
      </c>
    </row>
    <row r="56" spans="1:18" ht="20.100000000000001" customHeight="1" x14ac:dyDescent="0.25">
      <c r="A56" s="45">
        <v>2</v>
      </c>
      <c r="B56" s="4"/>
      <c r="C56" s="4"/>
      <c r="D56" s="4"/>
      <c r="E56" s="47"/>
      <c r="F56" s="47"/>
      <c r="G56" s="47"/>
      <c r="H56" s="47"/>
      <c r="I56" s="47"/>
      <c r="J56" s="47"/>
      <c r="K56" s="47"/>
      <c r="L56" s="5">
        <f t="shared" si="6"/>
        <v>0</v>
      </c>
      <c r="M56" s="16">
        <f t="shared" si="4"/>
        <v>0</v>
      </c>
      <c r="N56" s="17"/>
      <c r="O56" s="5">
        <f t="shared" si="5"/>
        <v>0</v>
      </c>
      <c r="P56" s="17"/>
      <c r="Q56" s="9" t="str">
        <f t="shared" si="7"/>
        <v>No</v>
      </c>
      <c r="R56" s="6">
        <f t="shared" si="8"/>
        <v>0</v>
      </c>
    </row>
    <row r="57" spans="1:18" ht="20.100000000000001" customHeight="1" x14ac:dyDescent="0.25">
      <c r="A57" s="45">
        <v>2</v>
      </c>
      <c r="B57" s="4"/>
      <c r="C57" s="4"/>
      <c r="D57" s="4"/>
      <c r="E57" s="47"/>
      <c r="F57" s="47"/>
      <c r="G57" s="47"/>
      <c r="H57" s="47"/>
      <c r="I57" s="47"/>
      <c r="J57" s="47"/>
      <c r="K57" s="47"/>
      <c r="L57" s="5">
        <f t="shared" si="6"/>
        <v>0</v>
      </c>
      <c r="M57" s="16">
        <f t="shared" si="4"/>
        <v>0</v>
      </c>
      <c r="N57" s="17"/>
      <c r="O57" s="5">
        <f t="shared" si="5"/>
        <v>0</v>
      </c>
      <c r="P57" s="17"/>
      <c r="Q57" s="9" t="str">
        <f t="shared" si="7"/>
        <v>No</v>
      </c>
      <c r="R57" s="6">
        <f t="shared" si="8"/>
        <v>0</v>
      </c>
    </row>
    <row r="58" spans="1:18" ht="20.100000000000001" customHeight="1" x14ac:dyDescent="0.25">
      <c r="A58" s="45">
        <v>2</v>
      </c>
      <c r="B58" s="4"/>
      <c r="C58" s="4"/>
      <c r="D58" s="4"/>
      <c r="E58" s="47"/>
      <c r="F58" s="47"/>
      <c r="G58" s="47"/>
      <c r="H58" s="47"/>
      <c r="I58" s="47"/>
      <c r="J58" s="47"/>
      <c r="K58" s="47"/>
      <c r="L58" s="5">
        <f t="shared" si="6"/>
        <v>0</v>
      </c>
      <c r="M58" s="16">
        <f t="shared" si="4"/>
        <v>0</v>
      </c>
      <c r="N58" s="17"/>
      <c r="O58" s="5">
        <f t="shared" si="5"/>
        <v>0</v>
      </c>
      <c r="P58" s="17"/>
      <c r="Q58" s="9" t="str">
        <f t="shared" si="7"/>
        <v>No</v>
      </c>
      <c r="R58" s="6">
        <f t="shared" si="8"/>
        <v>0</v>
      </c>
    </row>
    <row r="59" spans="1:18" ht="20.100000000000001" customHeight="1" x14ac:dyDescent="0.25">
      <c r="A59" s="45">
        <v>2</v>
      </c>
      <c r="B59" s="4"/>
      <c r="C59" s="4"/>
      <c r="D59" s="4"/>
      <c r="E59" s="47"/>
      <c r="F59" s="47"/>
      <c r="G59" s="47"/>
      <c r="H59" s="47"/>
      <c r="I59" s="47"/>
      <c r="J59" s="47"/>
      <c r="K59" s="47"/>
      <c r="L59" s="5">
        <f t="shared" si="6"/>
        <v>0</v>
      </c>
      <c r="M59" s="16">
        <f t="shared" si="4"/>
        <v>0</v>
      </c>
      <c r="N59" s="17"/>
      <c r="O59" s="5">
        <f t="shared" si="5"/>
        <v>0</v>
      </c>
      <c r="P59" s="17"/>
      <c r="Q59" s="9" t="str">
        <f t="shared" si="7"/>
        <v>No</v>
      </c>
      <c r="R59" s="6">
        <f t="shared" si="8"/>
        <v>0</v>
      </c>
    </row>
    <row r="60" spans="1:18" ht="20.100000000000001" customHeight="1" x14ac:dyDescent="0.25">
      <c r="A60" s="45">
        <v>2</v>
      </c>
      <c r="B60" s="4"/>
      <c r="C60" s="4"/>
      <c r="D60" s="4"/>
      <c r="E60" s="47"/>
      <c r="F60" s="47"/>
      <c r="G60" s="47"/>
      <c r="H60" s="47"/>
      <c r="I60" s="47"/>
      <c r="J60" s="47"/>
      <c r="K60" s="47"/>
      <c r="L60" s="5">
        <f t="shared" si="6"/>
        <v>0</v>
      </c>
      <c r="M60" s="16">
        <f t="shared" si="4"/>
        <v>0</v>
      </c>
      <c r="N60" s="17"/>
      <c r="O60" s="5">
        <f t="shared" si="5"/>
        <v>0</v>
      </c>
      <c r="P60" s="17"/>
      <c r="Q60" s="9" t="str">
        <f t="shared" si="7"/>
        <v>No</v>
      </c>
      <c r="R60" s="6">
        <f t="shared" si="8"/>
        <v>0</v>
      </c>
    </row>
    <row r="61" spans="1:18" ht="20.100000000000001" customHeight="1" x14ac:dyDescent="0.25">
      <c r="A61" s="45">
        <v>2</v>
      </c>
      <c r="B61" s="4"/>
      <c r="C61" s="4"/>
      <c r="D61" s="4"/>
      <c r="E61" s="47"/>
      <c r="F61" s="47"/>
      <c r="G61" s="47"/>
      <c r="H61" s="47"/>
      <c r="I61" s="47"/>
      <c r="J61" s="47"/>
      <c r="K61" s="47"/>
      <c r="L61" s="5">
        <f t="shared" si="6"/>
        <v>0</v>
      </c>
      <c r="M61" s="16">
        <f t="shared" si="4"/>
        <v>0</v>
      </c>
      <c r="N61" s="17"/>
      <c r="O61" s="5">
        <f t="shared" si="5"/>
        <v>0</v>
      </c>
      <c r="P61" s="17"/>
      <c r="Q61" s="9" t="str">
        <f t="shared" si="7"/>
        <v>No</v>
      </c>
      <c r="R61" s="6">
        <f t="shared" si="8"/>
        <v>0</v>
      </c>
    </row>
    <row r="62" spans="1:18" ht="20.100000000000001" customHeight="1" x14ac:dyDescent="0.25">
      <c r="A62" s="45">
        <v>2</v>
      </c>
      <c r="B62" s="4"/>
      <c r="C62" s="4"/>
      <c r="D62" s="4"/>
      <c r="E62" s="47"/>
      <c r="F62" s="47"/>
      <c r="G62" s="47"/>
      <c r="H62" s="47"/>
      <c r="I62" s="47"/>
      <c r="J62" s="47"/>
      <c r="K62" s="47"/>
      <c r="L62" s="5">
        <f t="shared" si="6"/>
        <v>0</v>
      </c>
      <c r="M62" s="16">
        <f t="shared" si="4"/>
        <v>0</v>
      </c>
      <c r="N62" s="17"/>
      <c r="O62" s="5">
        <f t="shared" si="5"/>
        <v>0</v>
      </c>
      <c r="P62" s="17"/>
      <c r="Q62" s="9" t="str">
        <f t="shared" si="7"/>
        <v>No</v>
      </c>
      <c r="R62" s="6">
        <f t="shared" si="8"/>
        <v>0</v>
      </c>
    </row>
    <row r="63" spans="1:18" ht="20.100000000000001" customHeight="1" x14ac:dyDescent="0.25">
      <c r="A63" s="45">
        <v>2</v>
      </c>
      <c r="B63" s="4"/>
      <c r="C63" s="4"/>
      <c r="D63" s="4"/>
      <c r="E63" s="47"/>
      <c r="F63" s="47"/>
      <c r="G63" s="47"/>
      <c r="H63" s="47"/>
      <c r="I63" s="47"/>
      <c r="J63" s="47"/>
      <c r="K63" s="47"/>
      <c r="L63" s="5">
        <f t="shared" si="6"/>
        <v>0</v>
      </c>
      <c r="M63" s="16">
        <f t="shared" si="4"/>
        <v>0</v>
      </c>
      <c r="N63" s="17"/>
      <c r="O63" s="5">
        <f t="shared" si="5"/>
        <v>0</v>
      </c>
      <c r="P63" s="17"/>
      <c r="Q63" s="9" t="str">
        <f t="shared" si="7"/>
        <v>No</v>
      </c>
      <c r="R63" s="6">
        <f t="shared" si="8"/>
        <v>0</v>
      </c>
    </row>
    <row r="64" spans="1:18" ht="20.100000000000001" customHeight="1" x14ac:dyDescent="0.25">
      <c r="A64" s="45">
        <v>2</v>
      </c>
      <c r="B64" s="4"/>
      <c r="C64" s="4"/>
      <c r="D64" s="4"/>
      <c r="E64" s="47"/>
      <c r="F64" s="47"/>
      <c r="G64" s="47"/>
      <c r="H64" s="47"/>
      <c r="I64" s="47"/>
      <c r="J64" s="47"/>
      <c r="K64" s="47"/>
      <c r="L64" s="5">
        <f t="shared" si="6"/>
        <v>0</v>
      </c>
      <c r="M64" s="16">
        <f t="shared" si="4"/>
        <v>0</v>
      </c>
      <c r="N64" s="17"/>
      <c r="O64" s="5">
        <f t="shared" si="5"/>
        <v>0</v>
      </c>
      <c r="P64" s="17"/>
      <c r="Q64" s="9" t="str">
        <f t="shared" si="7"/>
        <v>No</v>
      </c>
      <c r="R64" s="6">
        <f t="shared" si="8"/>
        <v>0</v>
      </c>
    </row>
    <row r="65" spans="1:18" ht="20.100000000000001" customHeight="1" x14ac:dyDescent="0.25">
      <c r="A65" s="45">
        <v>2</v>
      </c>
      <c r="B65" s="4"/>
      <c r="C65" s="4"/>
      <c r="D65" s="4"/>
      <c r="E65" s="47"/>
      <c r="F65" s="47"/>
      <c r="G65" s="47"/>
      <c r="H65" s="47"/>
      <c r="I65" s="47"/>
      <c r="J65" s="47"/>
      <c r="K65" s="47"/>
      <c r="L65" s="5">
        <f t="shared" si="6"/>
        <v>0</v>
      </c>
      <c r="M65" s="16">
        <f t="shared" si="4"/>
        <v>0</v>
      </c>
      <c r="N65" s="17"/>
      <c r="O65" s="5">
        <f t="shared" si="5"/>
        <v>0</v>
      </c>
      <c r="P65" s="17"/>
      <c r="Q65" s="9" t="str">
        <f t="shared" si="7"/>
        <v>No</v>
      </c>
      <c r="R65" s="6">
        <f t="shared" si="8"/>
        <v>0</v>
      </c>
    </row>
    <row r="66" spans="1:18" ht="20.100000000000001" customHeight="1" x14ac:dyDescent="0.25">
      <c r="A66" s="45">
        <v>2</v>
      </c>
      <c r="B66" s="4"/>
      <c r="C66" s="4"/>
      <c r="D66" s="4"/>
      <c r="E66" s="47"/>
      <c r="F66" s="47"/>
      <c r="G66" s="47"/>
      <c r="H66" s="47"/>
      <c r="I66" s="47"/>
      <c r="J66" s="47"/>
      <c r="K66" s="47"/>
      <c r="L66" s="5">
        <f t="shared" si="6"/>
        <v>0</v>
      </c>
      <c r="M66" s="16">
        <f t="shared" si="4"/>
        <v>0</v>
      </c>
      <c r="N66" s="17"/>
      <c r="O66" s="5">
        <f t="shared" si="5"/>
        <v>0</v>
      </c>
      <c r="P66" s="17"/>
      <c r="Q66" s="9" t="str">
        <f t="shared" si="7"/>
        <v>No</v>
      </c>
      <c r="R66" s="6">
        <f t="shared" si="8"/>
        <v>0</v>
      </c>
    </row>
    <row r="67" spans="1:18" ht="20.100000000000001" customHeight="1" x14ac:dyDescent="0.25">
      <c r="A67" s="45">
        <v>2</v>
      </c>
      <c r="B67" s="4"/>
      <c r="C67" s="4"/>
      <c r="D67" s="4"/>
      <c r="E67" s="47"/>
      <c r="F67" s="47"/>
      <c r="G67" s="47"/>
      <c r="H67" s="47"/>
      <c r="I67" s="47"/>
      <c r="J67" s="47"/>
      <c r="K67" s="47"/>
      <c r="L67" s="5">
        <f t="shared" si="6"/>
        <v>0</v>
      </c>
      <c r="M67" s="16">
        <f t="shared" si="4"/>
        <v>0</v>
      </c>
      <c r="N67" s="17"/>
      <c r="O67" s="5">
        <f t="shared" si="5"/>
        <v>0</v>
      </c>
      <c r="P67" s="17"/>
      <c r="Q67" s="9" t="str">
        <f t="shared" si="7"/>
        <v>No</v>
      </c>
      <c r="R67" s="6">
        <f t="shared" si="8"/>
        <v>0</v>
      </c>
    </row>
    <row r="68" spans="1:18" ht="20.100000000000001" customHeight="1" x14ac:dyDescent="0.25">
      <c r="A68" s="45">
        <v>2</v>
      </c>
      <c r="B68" s="4"/>
      <c r="C68" s="4"/>
      <c r="D68" s="4"/>
      <c r="E68" s="47"/>
      <c r="F68" s="47"/>
      <c r="G68" s="47"/>
      <c r="H68" s="47"/>
      <c r="I68" s="47"/>
      <c r="J68" s="47"/>
      <c r="K68" s="47"/>
      <c r="L68" s="5">
        <f t="shared" ref="L68:L100" si="9">SUM(H68*1)+(I68*2)+(J68*3)+(K68*4)</f>
        <v>0</v>
      </c>
      <c r="M68" s="16">
        <f t="shared" ref="M68:M100" si="10">IF(L68&lt;10,0,IF(L68&lt;20,1,IF(L68&lt;30,2,IF(L68&lt;40,3,IF(L68&gt;=40,4)))))</f>
        <v>0</v>
      </c>
      <c r="N68" s="17"/>
      <c r="O68" s="5">
        <f t="shared" ref="O68:O100" si="11">SUM(H68*1)+(I68*2)+(J68*3)+(K68*4)+IF(N68="Y",5,IF(N68="N",0))</f>
        <v>0</v>
      </c>
      <c r="P68" s="17"/>
      <c r="Q68" s="9" t="str">
        <f t="shared" ref="Q68:Q100" si="12">IF(AND(R68&gt;25,P68="Y"),"Yes","No")</f>
        <v>No</v>
      </c>
      <c r="R68" s="6">
        <f t="shared" ref="R68:R100" si="13">SUM(E68*3)+(F68*2)+(G68*1)+(O68)</f>
        <v>0</v>
      </c>
    </row>
    <row r="69" spans="1:18" ht="20.100000000000001" customHeight="1" x14ac:dyDescent="0.25">
      <c r="A69" s="45">
        <v>2</v>
      </c>
      <c r="B69" s="4"/>
      <c r="C69" s="4"/>
      <c r="D69" s="4"/>
      <c r="E69" s="47"/>
      <c r="F69" s="47"/>
      <c r="G69" s="47"/>
      <c r="H69" s="47"/>
      <c r="I69" s="47"/>
      <c r="J69" s="47"/>
      <c r="K69" s="47"/>
      <c r="L69" s="5">
        <f t="shared" si="9"/>
        <v>0</v>
      </c>
      <c r="M69" s="16">
        <f t="shared" si="10"/>
        <v>0</v>
      </c>
      <c r="N69" s="17"/>
      <c r="O69" s="5">
        <f t="shared" si="11"/>
        <v>0</v>
      </c>
      <c r="P69" s="17"/>
      <c r="Q69" s="9" t="str">
        <f t="shared" si="12"/>
        <v>No</v>
      </c>
      <c r="R69" s="6">
        <f t="shared" si="13"/>
        <v>0</v>
      </c>
    </row>
    <row r="70" spans="1:18" ht="20.100000000000001" customHeight="1" x14ac:dyDescent="0.25">
      <c r="A70" s="45">
        <v>2</v>
      </c>
      <c r="B70" s="4"/>
      <c r="C70" s="4"/>
      <c r="D70" s="4"/>
      <c r="E70" s="47"/>
      <c r="F70" s="47"/>
      <c r="G70" s="47"/>
      <c r="H70" s="47"/>
      <c r="I70" s="47"/>
      <c r="J70" s="47"/>
      <c r="K70" s="47"/>
      <c r="L70" s="5">
        <f t="shared" si="9"/>
        <v>0</v>
      </c>
      <c r="M70" s="16">
        <f t="shared" si="10"/>
        <v>0</v>
      </c>
      <c r="N70" s="17"/>
      <c r="O70" s="5">
        <f t="shared" si="11"/>
        <v>0</v>
      </c>
      <c r="P70" s="17"/>
      <c r="Q70" s="9" t="str">
        <f t="shared" si="12"/>
        <v>No</v>
      </c>
      <c r="R70" s="6">
        <f t="shared" si="13"/>
        <v>0</v>
      </c>
    </row>
    <row r="71" spans="1:18" ht="20.100000000000001" customHeight="1" x14ac:dyDescent="0.25">
      <c r="A71" s="45">
        <v>2</v>
      </c>
      <c r="B71" s="4"/>
      <c r="C71" s="4"/>
      <c r="D71" s="4"/>
      <c r="E71" s="47"/>
      <c r="F71" s="47"/>
      <c r="G71" s="47"/>
      <c r="H71" s="47"/>
      <c r="I71" s="47"/>
      <c r="J71" s="47"/>
      <c r="K71" s="47"/>
      <c r="L71" s="5">
        <f t="shared" si="9"/>
        <v>0</v>
      </c>
      <c r="M71" s="16">
        <f t="shared" si="10"/>
        <v>0</v>
      </c>
      <c r="N71" s="17"/>
      <c r="O71" s="5">
        <f t="shared" si="11"/>
        <v>0</v>
      </c>
      <c r="P71" s="17"/>
      <c r="Q71" s="9" t="str">
        <f t="shared" si="12"/>
        <v>No</v>
      </c>
      <c r="R71" s="6">
        <f t="shared" si="13"/>
        <v>0</v>
      </c>
    </row>
    <row r="72" spans="1:18" ht="20.100000000000001" customHeight="1" x14ac:dyDescent="0.25">
      <c r="A72" s="45">
        <v>2</v>
      </c>
      <c r="B72" s="4"/>
      <c r="C72" s="4"/>
      <c r="D72" s="4"/>
      <c r="E72" s="47"/>
      <c r="F72" s="47"/>
      <c r="G72" s="47"/>
      <c r="H72" s="47"/>
      <c r="I72" s="47"/>
      <c r="J72" s="47"/>
      <c r="K72" s="47"/>
      <c r="L72" s="5">
        <f t="shared" si="9"/>
        <v>0</v>
      </c>
      <c r="M72" s="16">
        <f t="shared" si="10"/>
        <v>0</v>
      </c>
      <c r="N72" s="17"/>
      <c r="O72" s="5">
        <f t="shared" si="11"/>
        <v>0</v>
      </c>
      <c r="P72" s="17"/>
      <c r="Q72" s="9" t="str">
        <f t="shared" si="12"/>
        <v>No</v>
      </c>
      <c r="R72" s="6">
        <f t="shared" si="13"/>
        <v>0</v>
      </c>
    </row>
    <row r="73" spans="1:18" ht="20.100000000000001" customHeight="1" x14ac:dyDescent="0.25">
      <c r="A73" s="45">
        <v>2</v>
      </c>
      <c r="B73" s="4"/>
      <c r="C73" s="4"/>
      <c r="D73" s="4"/>
      <c r="E73" s="47"/>
      <c r="F73" s="47"/>
      <c r="G73" s="47"/>
      <c r="H73" s="47"/>
      <c r="I73" s="47"/>
      <c r="J73" s="47"/>
      <c r="K73" s="47"/>
      <c r="L73" s="5">
        <f t="shared" si="9"/>
        <v>0</v>
      </c>
      <c r="M73" s="16">
        <f t="shared" si="10"/>
        <v>0</v>
      </c>
      <c r="N73" s="17"/>
      <c r="O73" s="5">
        <f t="shared" si="11"/>
        <v>0</v>
      </c>
      <c r="P73" s="17"/>
      <c r="Q73" s="9" t="str">
        <f t="shared" si="12"/>
        <v>No</v>
      </c>
      <c r="R73" s="6">
        <f t="shared" si="13"/>
        <v>0</v>
      </c>
    </row>
    <row r="74" spans="1:18" ht="20.100000000000001" customHeight="1" x14ac:dyDescent="0.25">
      <c r="A74" s="45">
        <v>2</v>
      </c>
      <c r="B74" s="4"/>
      <c r="C74" s="4"/>
      <c r="D74" s="4"/>
      <c r="E74" s="47"/>
      <c r="F74" s="47"/>
      <c r="G74" s="47"/>
      <c r="H74" s="47"/>
      <c r="I74" s="47"/>
      <c r="J74" s="47"/>
      <c r="K74" s="47"/>
      <c r="L74" s="5">
        <f t="shared" si="9"/>
        <v>0</v>
      </c>
      <c r="M74" s="16">
        <f t="shared" si="10"/>
        <v>0</v>
      </c>
      <c r="N74" s="17"/>
      <c r="O74" s="5">
        <f t="shared" si="11"/>
        <v>0</v>
      </c>
      <c r="P74" s="17"/>
      <c r="Q74" s="9" t="str">
        <f t="shared" si="12"/>
        <v>No</v>
      </c>
      <c r="R74" s="6">
        <f t="shared" si="13"/>
        <v>0</v>
      </c>
    </row>
    <row r="75" spans="1:18" ht="20.100000000000001" customHeight="1" x14ac:dyDescent="0.25">
      <c r="A75" s="45">
        <v>2</v>
      </c>
      <c r="B75" s="4"/>
      <c r="C75" s="4"/>
      <c r="D75" s="4"/>
      <c r="E75" s="47"/>
      <c r="F75" s="47"/>
      <c r="G75" s="47"/>
      <c r="H75" s="47"/>
      <c r="I75" s="47"/>
      <c r="J75" s="47"/>
      <c r="K75" s="47"/>
      <c r="L75" s="5">
        <f t="shared" si="9"/>
        <v>0</v>
      </c>
      <c r="M75" s="16">
        <f t="shared" si="10"/>
        <v>0</v>
      </c>
      <c r="N75" s="17"/>
      <c r="O75" s="5">
        <f t="shared" si="11"/>
        <v>0</v>
      </c>
      <c r="P75" s="17"/>
      <c r="Q75" s="9" t="str">
        <f t="shared" si="12"/>
        <v>No</v>
      </c>
      <c r="R75" s="6">
        <f t="shared" si="13"/>
        <v>0</v>
      </c>
    </row>
    <row r="76" spans="1:18" ht="20.100000000000001" customHeight="1" x14ac:dyDescent="0.25">
      <c r="A76" s="45">
        <v>2</v>
      </c>
      <c r="B76" s="4"/>
      <c r="C76" s="4"/>
      <c r="D76" s="4"/>
      <c r="E76" s="47"/>
      <c r="F76" s="47"/>
      <c r="G76" s="47"/>
      <c r="H76" s="47"/>
      <c r="I76" s="47"/>
      <c r="J76" s="47"/>
      <c r="K76" s="47"/>
      <c r="L76" s="5">
        <f t="shared" si="9"/>
        <v>0</v>
      </c>
      <c r="M76" s="16">
        <f t="shared" si="10"/>
        <v>0</v>
      </c>
      <c r="N76" s="17"/>
      <c r="O76" s="5">
        <f t="shared" si="11"/>
        <v>0</v>
      </c>
      <c r="P76" s="17"/>
      <c r="Q76" s="9" t="str">
        <f t="shared" si="12"/>
        <v>No</v>
      </c>
      <c r="R76" s="6">
        <f t="shared" si="13"/>
        <v>0</v>
      </c>
    </row>
    <row r="77" spans="1:18" ht="20.100000000000001" customHeight="1" x14ac:dyDescent="0.25">
      <c r="A77" s="45">
        <v>2</v>
      </c>
      <c r="B77" s="4"/>
      <c r="C77" s="4"/>
      <c r="D77" s="4"/>
      <c r="E77" s="47"/>
      <c r="F77" s="47"/>
      <c r="G77" s="47"/>
      <c r="H77" s="47"/>
      <c r="I77" s="47"/>
      <c r="J77" s="47"/>
      <c r="K77" s="47"/>
      <c r="L77" s="5">
        <f t="shared" si="9"/>
        <v>0</v>
      </c>
      <c r="M77" s="16">
        <f t="shared" si="10"/>
        <v>0</v>
      </c>
      <c r="N77" s="17"/>
      <c r="O77" s="5">
        <f t="shared" si="11"/>
        <v>0</v>
      </c>
      <c r="P77" s="17"/>
      <c r="Q77" s="9" t="str">
        <f t="shared" si="12"/>
        <v>No</v>
      </c>
      <c r="R77" s="6">
        <f t="shared" si="13"/>
        <v>0</v>
      </c>
    </row>
    <row r="78" spans="1:18" ht="20.100000000000001" customHeight="1" x14ac:dyDescent="0.25">
      <c r="A78" s="45">
        <v>2</v>
      </c>
      <c r="B78" s="4"/>
      <c r="C78" s="4"/>
      <c r="D78" s="4"/>
      <c r="E78" s="47"/>
      <c r="F78" s="47"/>
      <c r="G78" s="47"/>
      <c r="H78" s="47"/>
      <c r="I78" s="47"/>
      <c r="J78" s="47"/>
      <c r="K78" s="47"/>
      <c r="L78" s="5">
        <f t="shared" si="9"/>
        <v>0</v>
      </c>
      <c r="M78" s="16">
        <f t="shared" si="10"/>
        <v>0</v>
      </c>
      <c r="N78" s="17"/>
      <c r="O78" s="5">
        <f t="shared" si="11"/>
        <v>0</v>
      </c>
      <c r="P78" s="17"/>
      <c r="Q78" s="9" t="str">
        <f t="shared" si="12"/>
        <v>No</v>
      </c>
      <c r="R78" s="6">
        <f t="shared" si="13"/>
        <v>0</v>
      </c>
    </row>
    <row r="79" spans="1:18" ht="20.100000000000001" customHeight="1" x14ac:dyDescent="0.25">
      <c r="A79" s="45">
        <v>2</v>
      </c>
      <c r="B79" s="4"/>
      <c r="C79" s="4"/>
      <c r="D79" s="4"/>
      <c r="E79" s="47"/>
      <c r="F79" s="47"/>
      <c r="G79" s="47"/>
      <c r="H79" s="47"/>
      <c r="I79" s="47"/>
      <c r="J79" s="47"/>
      <c r="K79" s="47"/>
      <c r="L79" s="5">
        <f t="shared" si="9"/>
        <v>0</v>
      </c>
      <c r="M79" s="16">
        <f t="shared" si="10"/>
        <v>0</v>
      </c>
      <c r="N79" s="17"/>
      <c r="O79" s="5">
        <f t="shared" si="11"/>
        <v>0</v>
      </c>
      <c r="P79" s="17"/>
      <c r="Q79" s="9" t="str">
        <f t="shared" si="12"/>
        <v>No</v>
      </c>
      <c r="R79" s="6">
        <f t="shared" si="13"/>
        <v>0</v>
      </c>
    </row>
    <row r="80" spans="1:18" ht="20.100000000000001" customHeight="1" x14ac:dyDescent="0.25">
      <c r="A80" s="45">
        <v>2</v>
      </c>
      <c r="B80" s="4"/>
      <c r="C80" s="4"/>
      <c r="D80" s="4"/>
      <c r="E80" s="47"/>
      <c r="F80" s="47"/>
      <c r="G80" s="47"/>
      <c r="H80" s="47"/>
      <c r="I80" s="47"/>
      <c r="J80" s="47"/>
      <c r="K80" s="47"/>
      <c r="L80" s="5">
        <f t="shared" si="9"/>
        <v>0</v>
      </c>
      <c r="M80" s="16">
        <f t="shared" si="10"/>
        <v>0</v>
      </c>
      <c r="N80" s="17"/>
      <c r="O80" s="5">
        <f t="shared" si="11"/>
        <v>0</v>
      </c>
      <c r="P80" s="17"/>
      <c r="Q80" s="9" t="str">
        <f t="shared" si="12"/>
        <v>No</v>
      </c>
      <c r="R80" s="6">
        <f t="shared" si="13"/>
        <v>0</v>
      </c>
    </row>
    <row r="81" spans="1:18" ht="20.100000000000001" customHeight="1" x14ac:dyDescent="0.25">
      <c r="A81" s="45">
        <v>2</v>
      </c>
      <c r="B81" s="4"/>
      <c r="C81" s="4"/>
      <c r="D81" s="4"/>
      <c r="E81" s="47"/>
      <c r="F81" s="47"/>
      <c r="G81" s="47"/>
      <c r="H81" s="47"/>
      <c r="I81" s="47"/>
      <c r="J81" s="47"/>
      <c r="K81" s="47"/>
      <c r="L81" s="5">
        <f t="shared" si="9"/>
        <v>0</v>
      </c>
      <c r="M81" s="16">
        <f t="shared" si="10"/>
        <v>0</v>
      </c>
      <c r="N81" s="17"/>
      <c r="O81" s="5">
        <f t="shared" si="11"/>
        <v>0</v>
      </c>
      <c r="P81" s="17"/>
      <c r="Q81" s="9" t="str">
        <f t="shared" si="12"/>
        <v>No</v>
      </c>
      <c r="R81" s="6">
        <f t="shared" si="13"/>
        <v>0</v>
      </c>
    </row>
    <row r="82" spans="1:18" ht="20.100000000000001" customHeight="1" x14ac:dyDescent="0.25">
      <c r="A82" s="45">
        <v>2</v>
      </c>
      <c r="B82" s="4"/>
      <c r="C82" s="4"/>
      <c r="D82" s="4"/>
      <c r="E82" s="47"/>
      <c r="F82" s="47"/>
      <c r="G82" s="47"/>
      <c r="H82" s="47"/>
      <c r="I82" s="47"/>
      <c r="J82" s="47"/>
      <c r="K82" s="47"/>
      <c r="L82" s="5">
        <f t="shared" si="9"/>
        <v>0</v>
      </c>
      <c r="M82" s="16">
        <f t="shared" si="10"/>
        <v>0</v>
      </c>
      <c r="N82" s="17"/>
      <c r="O82" s="5">
        <f t="shared" si="11"/>
        <v>0</v>
      </c>
      <c r="P82" s="17"/>
      <c r="Q82" s="9" t="str">
        <f t="shared" si="12"/>
        <v>No</v>
      </c>
      <c r="R82" s="6">
        <f t="shared" si="13"/>
        <v>0</v>
      </c>
    </row>
    <row r="83" spans="1:18" ht="20.100000000000001" customHeight="1" x14ac:dyDescent="0.25">
      <c r="A83" s="45">
        <v>2</v>
      </c>
      <c r="B83" s="4"/>
      <c r="C83" s="4"/>
      <c r="D83" s="4"/>
      <c r="E83" s="47"/>
      <c r="F83" s="47"/>
      <c r="G83" s="47"/>
      <c r="H83" s="47"/>
      <c r="I83" s="47"/>
      <c r="J83" s="47"/>
      <c r="K83" s="47"/>
      <c r="L83" s="5">
        <f t="shared" si="9"/>
        <v>0</v>
      </c>
      <c r="M83" s="16">
        <f t="shared" si="10"/>
        <v>0</v>
      </c>
      <c r="N83" s="17"/>
      <c r="O83" s="5">
        <f t="shared" si="11"/>
        <v>0</v>
      </c>
      <c r="P83" s="17"/>
      <c r="Q83" s="9" t="str">
        <f t="shared" si="12"/>
        <v>No</v>
      </c>
      <c r="R83" s="6">
        <f t="shared" si="13"/>
        <v>0</v>
      </c>
    </row>
    <row r="84" spans="1:18" ht="20.100000000000001" customHeight="1" x14ac:dyDescent="0.25">
      <c r="A84" s="45">
        <v>2</v>
      </c>
      <c r="B84" s="4"/>
      <c r="C84" s="4"/>
      <c r="D84" s="4"/>
      <c r="E84" s="47"/>
      <c r="F84" s="47"/>
      <c r="G84" s="47"/>
      <c r="H84" s="47"/>
      <c r="I84" s="47"/>
      <c r="J84" s="47"/>
      <c r="K84" s="47"/>
      <c r="L84" s="5">
        <f t="shared" si="9"/>
        <v>0</v>
      </c>
      <c r="M84" s="16">
        <f t="shared" si="10"/>
        <v>0</v>
      </c>
      <c r="N84" s="17"/>
      <c r="O84" s="5">
        <f t="shared" si="11"/>
        <v>0</v>
      </c>
      <c r="P84" s="17"/>
      <c r="Q84" s="9" t="str">
        <f t="shared" si="12"/>
        <v>No</v>
      </c>
      <c r="R84" s="6">
        <f t="shared" si="13"/>
        <v>0</v>
      </c>
    </row>
    <row r="85" spans="1:18" ht="20.100000000000001" customHeight="1" x14ac:dyDescent="0.25">
      <c r="A85" s="45">
        <v>2</v>
      </c>
      <c r="B85" s="4"/>
      <c r="C85" s="4"/>
      <c r="D85" s="4"/>
      <c r="E85" s="47"/>
      <c r="F85" s="47"/>
      <c r="G85" s="47"/>
      <c r="H85" s="47"/>
      <c r="I85" s="47"/>
      <c r="J85" s="47"/>
      <c r="K85" s="47"/>
      <c r="L85" s="5">
        <f t="shared" si="9"/>
        <v>0</v>
      </c>
      <c r="M85" s="16">
        <f t="shared" si="10"/>
        <v>0</v>
      </c>
      <c r="N85" s="17"/>
      <c r="O85" s="5">
        <f t="shared" si="11"/>
        <v>0</v>
      </c>
      <c r="P85" s="17"/>
      <c r="Q85" s="9" t="str">
        <f t="shared" si="12"/>
        <v>No</v>
      </c>
      <c r="R85" s="6">
        <f t="shared" si="13"/>
        <v>0</v>
      </c>
    </row>
    <row r="86" spans="1:18" ht="20.100000000000001" customHeight="1" x14ac:dyDescent="0.25">
      <c r="A86" s="45">
        <v>2</v>
      </c>
      <c r="B86" s="4"/>
      <c r="C86" s="4"/>
      <c r="D86" s="4"/>
      <c r="E86" s="47"/>
      <c r="F86" s="47"/>
      <c r="G86" s="47"/>
      <c r="H86" s="47"/>
      <c r="I86" s="47"/>
      <c r="J86" s="47"/>
      <c r="K86" s="47"/>
      <c r="L86" s="5">
        <f t="shared" si="9"/>
        <v>0</v>
      </c>
      <c r="M86" s="16">
        <f t="shared" si="10"/>
        <v>0</v>
      </c>
      <c r="N86" s="17"/>
      <c r="O86" s="5">
        <f t="shared" si="11"/>
        <v>0</v>
      </c>
      <c r="P86" s="17"/>
      <c r="Q86" s="9" t="str">
        <f t="shared" si="12"/>
        <v>No</v>
      </c>
      <c r="R86" s="6">
        <f t="shared" si="13"/>
        <v>0</v>
      </c>
    </row>
    <row r="87" spans="1:18" ht="20.100000000000001" customHeight="1" x14ac:dyDescent="0.25">
      <c r="A87" s="45">
        <v>2</v>
      </c>
      <c r="B87" s="4"/>
      <c r="C87" s="4"/>
      <c r="D87" s="4"/>
      <c r="E87" s="47"/>
      <c r="F87" s="47"/>
      <c r="G87" s="47"/>
      <c r="H87" s="47"/>
      <c r="I87" s="47"/>
      <c r="J87" s="47"/>
      <c r="K87" s="47"/>
      <c r="L87" s="5">
        <f t="shared" si="9"/>
        <v>0</v>
      </c>
      <c r="M87" s="16">
        <f t="shared" si="10"/>
        <v>0</v>
      </c>
      <c r="N87" s="17"/>
      <c r="O87" s="5">
        <f t="shared" si="11"/>
        <v>0</v>
      </c>
      <c r="P87" s="17"/>
      <c r="Q87" s="9" t="str">
        <f t="shared" si="12"/>
        <v>No</v>
      </c>
      <c r="R87" s="6">
        <f t="shared" si="13"/>
        <v>0</v>
      </c>
    </row>
    <row r="88" spans="1:18" ht="20.100000000000001" customHeight="1" x14ac:dyDescent="0.25">
      <c r="A88" s="45">
        <v>2</v>
      </c>
      <c r="B88" s="4"/>
      <c r="C88" s="4"/>
      <c r="D88" s="4"/>
      <c r="E88" s="47"/>
      <c r="F88" s="47"/>
      <c r="G88" s="47"/>
      <c r="H88" s="47"/>
      <c r="I88" s="47"/>
      <c r="J88" s="47"/>
      <c r="K88" s="47"/>
      <c r="L88" s="5">
        <f t="shared" si="9"/>
        <v>0</v>
      </c>
      <c r="M88" s="16">
        <f t="shared" si="10"/>
        <v>0</v>
      </c>
      <c r="N88" s="17"/>
      <c r="O88" s="5">
        <f t="shared" si="11"/>
        <v>0</v>
      </c>
      <c r="P88" s="17"/>
      <c r="Q88" s="9" t="str">
        <f t="shared" si="12"/>
        <v>No</v>
      </c>
      <c r="R88" s="6">
        <f t="shared" si="13"/>
        <v>0</v>
      </c>
    </row>
    <row r="89" spans="1:18" ht="20.100000000000001" customHeight="1" x14ac:dyDescent="0.25">
      <c r="A89" s="45">
        <v>2</v>
      </c>
      <c r="B89" s="4"/>
      <c r="C89" s="4"/>
      <c r="D89" s="4"/>
      <c r="E89" s="47"/>
      <c r="F89" s="47"/>
      <c r="G89" s="47"/>
      <c r="H89" s="47"/>
      <c r="I89" s="47"/>
      <c r="J89" s="47"/>
      <c r="K89" s="47"/>
      <c r="L89" s="5">
        <f t="shared" si="9"/>
        <v>0</v>
      </c>
      <c r="M89" s="16">
        <f t="shared" si="10"/>
        <v>0</v>
      </c>
      <c r="N89" s="17"/>
      <c r="O89" s="5">
        <f t="shared" si="11"/>
        <v>0</v>
      </c>
      <c r="P89" s="17"/>
      <c r="Q89" s="9" t="str">
        <f t="shared" si="12"/>
        <v>No</v>
      </c>
      <c r="R89" s="6">
        <f t="shared" si="13"/>
        <v>0</v>
      </c>
    </row>
    <row r="90" spans="1:18" ht="20.100000000000001" customHeight="1" x14ac:dyDescent="0.25">
      <c r="A90" s="45">
        <v>2</v>
      </c>
      <c r="B90" s="4"/>
      <c r="C90" s="4"/>
      <c r="D90" s="4"/>
      <c r="E90" s="47"/>
      <c r="F90" s="47"/>
      <c r="G90" s="47"/>
      <c r="H90" s="47"/>
      <c r="I90" s="47"/>
      <c r="J90" s="47"/>
      <c r="K90" s="47"/>
      <c r="L90" s="5">
        <f t="shared" si="9"/>
        <v>0</v>
      </c>
      <c r="M90" s="16">
        <f t="shared" si="10"/>
        <v>0</v>
      </c>
      <c r="N90" s="17"/>
      <c r="O90" s="5">
        <f t="shared" si="11"/>
        <v>0</v>
      </c>
      <c r="P90" s="17"/>
      <c r="Q90" s="9" t="str">
        <f t="shared" si="12"/>
        <v>No</v>
      </c>
      <c r="R90" s="6">
        <f t="shared" si="13"/>
        <v>0</v>
      </c>
    </row>
    <row r="91" spans="1:18" ht="20.100000000000001" customHeight="1" x14ac:dyDescent="0.25">
      <c r="A91" s="45">
        <v>2</v>
      </c>
      <c r="B91" s="4"/>
      <c r="C91" s="4"/>
      <c r="D91" s="4"/>
      <c r="E91" s="47"/>
      <c r="F91" s="47"/>
      <c r="G91" s="47"/>
      <c r="H91" s="47"/>
      <c r="I91" s="47"/>
      <c r="J91" s="47"/>
      <c r="K91" s="47"/>
      <c r="L91" s="5">
        <f t="shared" si="9"/>
        <v>0</v>
      </c>
      <c r="M91" s="16">
        <f t="shared" si="10"/>
        <v>0</v>
      </c>
      <c r="N91" s="17"/>
      <c r="O91" s="5">
        <f t="shared" si="11"/>
        <v>0</v>
      </c>
      <c r="P91" s="17"/>
      <c r="Q91" s="9" t="str">
        <f t="shared" si="12"/>
        <v>No</v>
      </c>
      <c r="R91" s="6">
        <f t="shared" si="13"/>
        <v>0</v>
      </c>
    </row>
    <row r="92" spans="1:18" ht="20.100000000000001" customHeight="1" x14ac:dyDescent="0.25">
      <c r="A92" s="45">
        <v>2</v>
      </c>
      <c r="B92" s="4"/>
      <c r="C92" s="4"/>
      <c r="D92" s="4"/>
      <c r="E92" s="47"/>
      <c r="F92" s="47"/>
      <c r="G92" s="47"/>
      <c r="H92" s="47"/>
      <c r="I92" s="47"/>
      <c r="J92" s="47"/>
      <c r="K92" s="47"/>
      <c r="L92" s="5">
        <f t="shared" si="9"/>
        <v>0</v>
      </c>
      <c r="M92" s="16">
        <f t="shared" si="10"/>
        <v>0</v>
      </c>
      <c r="N92" s="17"/>
      <c r="O92" s="5">
        <f t="shared" si="11"/>
        <v>0</v>
      </c>
      <c r="P92" s="17"/>
      <c r="Q92" s="9" t="str">
        <f t="shared" si="12"/>
        <v>No</v>
      </c>
      <c r="R92" s="6">
        <f t="shared" si="13"/>
        <v>0</v>
      </c>
    </row>
    <row r="93" spans="1:18" ht="20.100000000000001" customHeight="1" x14ac:dyDescent="0.25">
      <c r="A93" s="45">
        <v>2</v>
      </c>
      <c r="B93" s="4"/>
      <c r="C93" s="4"/>
      <c r="D93" s="4"/>
      <c r="E93" s="47"/>
      <c r="F93" s="47"/>
      <c r="G93" s="47"/>
      <c r="H93" s="47"/>
      <c r="I93" s="47"/>
      <c r="J93" s="47"/>
      <c r="K93" s="47"/>
      <c r="L93" s="5">
        <f t="shared" si="9"/>
        <v>0</v>
      </c>
      <c r="M93" s="16">
        <f t="shared" si="10"/>
        <v>0</v>
      </c>
      <c r="N93" s="17"/>
      <c r="O93" s="5">
        <f t="shared" si="11"/>
        <v>0</v>
      </c>
      <c r="P93" s="17"/>
      <c r="Q93" s="9" t="str">
        <f t="shared" si="12"/>
        <v>No</v>
      </c>
      <c r="R93" s="6">
        <f t="shared" si="13"/>
        <v>0</v>
      </c>
    </row>
    <row r="94" spans="1:18" ht="20.100000000000001" customHeight="1" x14ac:dyDescent="0.25">
      <c r="A94" s="45">
        <v>2</v>
      </c>
      <c r="B94" s="4"/>
      <c r="C94" s="4"/>
      <c r="D94" s="4"/>
      <c r="E94" s="47"/>
      <c r="F94" s="47"/>
      <c r="G94" s="47"/>
      <c r="H94" s="47"/>
      <c r="I94" s="47"/>
      <c r="J94" s="47"/>
      <c r="K94" s="47"/>
      <c r="L94" s="5">
        <f t="shared" si="9"/>
        <v>0</v>
      </c>
      <c r="M94" s="16">
        <f t="shared" si="10"/>
        <v>0</v>
      </c>
      <c r="N94" s="17"/>
      <c r="O94" s="5">
        <f t="shared" si="11"/>
        <v>0</v>
      </c>
      <c r="P94" s="17"/>
      <c r="Q94" s="9" t="str">
        <f t="shared" si="12"/>
        <v>No</v>
      </c>
      <c r="R94" s="6">
        <f t="shared" si="13"/>
        <v>0</v>
      </c>
    </row>
    <row r="95" spans="1:18" ht="20.100000000000001" customHeight="1" x14ac:dyDescent="0.25">
      <c r="A95" s="45">
        <v>2</v>
      </c>
      <c r="B95" s="4"/>
      <c r="C95" s="4"/>
      <c r="D95" s="4"/>
      <c r="E95" s="47"/>
      <c r="F95" s="47"/>
      <c r="G95" s="47"/>
      <c r="H95" s="47"/>
      <c r="I95" s="47"/>
      <c r="J95" s="47"/>
      <c r="K95" s="47"/>
      <c r="L95" s="5">
        <f t="shared" si="9"/>
        <v>0</v>
      </c>
      <c r="M95" s="16">
        <f t="shared" si="10"/>
        <v>0</v>
      </c>
      <c r="N95" s="17"/>
      <c r="O95" s="5">
        <f t="shared" si="11"/>
        <v>0</v>
      </c>
      <c r="P95" s="17"/>
      <c r="Q95" s="9" t="str">
        <f t="shared" si="12"/>
        <v>No</v>
      </c>
      <c r="R95" s="6">
        <f t="shared" si="13"/>
        <v>0</v>
      </c>
    </row>
    <row r="96" spans="1:18" ht="20.100000000000001" customHeight="1" x14ac:dyDescent="0.25">
      <c r="A96" s="45">
        <v>2</v>
      </c>
      <c r="B96" s="4"/>
      <c r="C96" s="4"/>
      <c r="D96" s="4"/>
      <c r="E96" s="47"/>
      <c r="F96" s="47"/>
      <c r="G96" s="47"/>
      <c r="H96" s="47"/>
      <c r="I96" s="47"/>
      <c r="J96" s="47"/>
      <c r="K96" s="47"/>
      <c r="L96" s="5">
        <f t="shared" si="9"/>
        <v>0</v>
      </c>
      <c r="M96" s="16">
        <f t="shared" si="10"/>
        <v>0</v>
      </c>
      <c r="N96" s="17"/>
      <c r="O96" s="5">
        <f t="shared" si="11"/>
        <v>0</v>
      </c>
      <c r="P96" s="17"/>
      <c r="Q96" s="9" t="str">
        <f t="shared" si="12"/>
        <v>No</v>
      </c>
      <c r="R96" s="6">
        <f t="shared" si="13"/>
        <v>0</v>
      </c>
    </row>
    <row r="97" spans="1:18" ht="20.100000000000001" customHeight="1" x14ac:dyDescent="0.25">
      <c r="A97" s="45">
        <v>2</v>
      </c>
      <c r="B97" s="4"/>
      <c r="C97" s="4"/>
      <c r="D97" s="4"/>
      <c r="E97" s="47"/>
      <c r="F97" s="47"/>
      <c r="G97" s="47"/>
      <c r="H97" s="47"/>
      <c r="I97" s="47"/>
      <c r="J97" s="47"/>
      <c r="K97" s="47"/>
      <c r="L97" s="5">
        <f t="shared" si="9"/>
        <v>0</v>
      </c>
      <c r="M97" s="16">
        <f t="shared" si="10"/>
        <v>0</v>
      </c>
      <c r="N97" s="17"/>
      <c r="O97" s="5">
        <f t="shared" si="11"/>
        <v>0</v>
      </c>
      <c r="P97" s="17"/>
      <c r="Q97" s="9" t="str">
        <f t="shared" si="12"/>
        <v>No</v>
      </c>
      <c r="R97" s="6">
        <f t="shared" si="13"/>
        <v>0</v>
      </c>
    </row>
    <row r="98" spans="1:18" ht="20.100000000000001" customHeight="1" x14ac:dyDescent="0.25">
      <c r="A98" s="45">
        <v>2</v>
      </c>
      <c r="B98" s="4"/>
      <c r="C98" s="4"/>
      <c r="D98" s="4"/>
      <c r="E98" s="47"/>
      <c r="F98" s="47"/>
      <c r="G98" s="47"/>
      <c r="H98" s="47"/>
      <c r="I98" s="47"/>
      <c r="J98" s="47"/>
      <c r="K98" s="47"/>
      <c r="L98" s="5">
        <f t="shared" si="9"/>
        <v>0</v>
      </c>
      <c r="M98" s="16">
        <f t="shared" si="10"/>
        <v>0</v>
      </c>
      <c r="N98" s="17"/>
      <c r="O98" s="5">
        <f t="shared" si="11"/>
        <v>0</v>
      </c>
      <c r="P98" s="17"/>
      <c r="Q98" s="9" t="str">
        <f t="shared" si="12"/>
        <v>No</v>
      </c>
      <c r="R98" s="6">
        <f t="shared" si="13"/>
        <v>0</v>
      </c>
    </row>
    <row r="99" spans="1:18" ht="20.100000000000001" customHeight="1" x14ac:dyDescent="0.25">
      <c r="A99" s="45">
        <v>2</v>
      </c>
      <c r="B99" s="4"/>
      <c r="C99" s="4"/>
      <c r="D99" s="4"/>
      <c r="E99" s="47"/>
      <c r="F99" s="47"/>
      <c r="G99" s="47"/>
      <c r="H99" s="47"/>
      <c r="I99" s="47"/>
      <c r="J99" s="47"/>
      <c r="K99" s="47"/>
      <c r="L99" s="5">
        <f t="shared" si="9"/>
        <v>0</v>
      </c>
      <c r="M99" s="16">
        <f t="shared" si="10"/>
        <v>0</v>
      </c>
      <c r="N99" s="17"/>
      <c r="O99" s="5">
        <f t="shared" si="11"/>
        <v>0</v>
      </c>
      <c r="P99" s="17"/>
      <c r="Q99" s="9" t="str">
        <f t="shared" si="12"/>
        <v>No</v>
      </c>
      <c r="R99" s="6">
        <f t="shared" si="13"/>
        <v>0</v>
      </c>
    </row>
    <row r="100" spans="1:18" ht="20.100000000000001" customHeight="1" x14ac:dyDescent="0.25">
      <c r="A100" s="45">
        <v>2</v>
      </c>
      <c r="B100" s="4"/>
      <c r="C100" s="4"/>
      <c r="D100" s="4"/>
      <c r="E100" s="47"/>
      <c r="F100" s="47"/>
      <c r="G100" s="47"/>
      <c r="H100" s="47"/>
      <c r="I100" s="47"/>
      <c r="J100" s="47"/>
      <c r="K100" s="47"/>
      <c r="L100" s="5">
        <f t="shared" si="9"/>
        <v>0</v>
      </c>
      <c r="M100" s="16">
        <f t="shared" si="10"/>
        <v>0</v>
      </c>
      <c r="N100" s="17"/>
      <c r="O100" s="5">
        <f t="shared" si="11"/>
        <v>0</v>
      </c>
      <c r="P100" s="17"/>
      <c r="Q100" s="9" t="str">
        <f t="shared" si="12"/>
        <v>No</v>
      </c>
      <c r="R100" s="6">
        <f t="shared" si="13"/>
        <v>0</v>
      </c>
    </row>
    <row r="101" spans="1:18" ht="20.100000000000001" customHeight="1" x14ac:dyDescent="0.25">
      <c r="B101" s="4"/>
      <c r="C101" s="4"/>
      <c r="D101" s="4"/>
    </row>
  </sheetData>
  <sheetProtection algorithmName="SHA-512" hashValue="jCDgs23t45sVmpSAHxsypc1dH8EI40RtV9sF22JqI5Rz+Re3jDh9ShwCMlcf8HDfzUdLB2+zvaY2PLGE2Ct6VA==" saltValue="zNk8WcRwH7AY2NlHtPF4bg==" spinCount="100000" sheet="1" objects="1" scenarios="1"/>
  <sortState xmlns:xlrd2="http://schemas.microsoft.com/office/spreadsheetml/2017/richdata2" ref="A3:R21">
    <sortCondition ref="C3:C21"/>
  </sortState>
  <mergeCells count="1">
    <mergeCell ref="A1:R1"/>
  </mergeCells>
  <dataValidations count="1">
    <dataValidation type="list" showErrorMessage="1" errorTitle="Must be Y or N" error="Must be Y or N" sqref="N3:N100 P3:P100" xr:uid="{00000000-0002-0000-0100-000000000000}">
      <formula1>"Y,N"</formula1>
    </dataValidation>
  </dataValidations>
  <pageMargins left="0.25" right="0.25" top="0.75" bottom="0.75" header="0.3" footer="0.3"/>
  <pageSetup scale="75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3"/>
  <sheetViews>
    <sheetView workbookViewId="0">
      <selection sqref="A1:A3"/>
    </sheetView>
  </sheetViews>
  <sheetFormatPr defaultColWidth="8.85546875" defaultRowHeight="15" x14ac:dyDescent="0.25"/>
  <sheetData>
    <row r="2" spans="1:1" x14ac:dyDescent="0.25">
      <c r="A2" t="s">
        <v>8</v>
      </c>
    </row>
    <row r="3" spans="1:1" x14ac:dyDescent="0.25">
      <c r="A3" t="s">
        <v>20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A3AC3"/>
  </sheetPr>
  <dimension ref="A1:R98"/>
  <sheetViews>
    <sheetView workbookViewId="0">
      <selection activeCell="R1" sqref="R1"/>
    </sheetView>
  </sheetViews>
  <sheetFormatPr defaultColWidth="8.85546875" defaultRowHeight="15" x14ac:dyDescent="0.25"/>
  <cols>
    <col min="1" max="1" width="5.7109375" customWidth="1"/>
    <col min="2" max="2" width="17.42578125" customWidth="1"/>
    <col min="4" max="4" width="8.140625" customWidth="1"/>
    <col min="5" max="7" width="10.28515625" customWidth="1"/>
    <col min="8" max="11" width="8.140625" customWidth="1"/>
  </cols>
  <sheetData>
    <row r="1" spans="1:18" ht="135.75" thickBot="1" x14ac:dyDescent="0.3">
      <c r="A1" s="10" t="s">
        <v>0</v>
      </c>
      <c r="B1" s="10" t="s">
        <v>1</v>
      </c>
      <c r="C1" s="11" t="s">
        <v>2</v>
      </c>
      <c r="D1" s="11" t="s">
        <v>3</v>
      </c>
      <c r="E1" s="11" t="s">
        <v>9</v>
      </c>
      <c r="F1" s="11" t="s">
        <v>10</v>
      </c>
      <c r="G1" s="11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1" t="s">
        <v>16</v>
      </c>
      <c r="M1" s="13" t="s">
        <v>17</v>
      </c>
      <c r="N1" s="14" t="s">
        <v>4</v>
      </c>
      <c r="O1" s="11" t="s">
        <v>5</v>
      </c>
      <c r="P1" s="14" t="s">
        <v>18</v>
      </c>
      <c r="Q1" s="13" t="s">
        <v>19</v>
      </c>
      <c r="R1" s="11" t="s">
        <v>5</v>
      </c>
    </row>
    <row r="2" spans="1:18" x14ac:dyDescent="0.25">
      <c r="A2" s="19">
        <v>1</v>
      </c>
      <c r="B2" s="4" t="s">
        <v>40</v>
      </c>
      <c r="C2" s="4" t="s">
        <v>41</v>
      </c>
      <c r="D2" s="4" t="s">
        <v>42</v>
      </c>
      <c r="E2" s="22">
        <v>5</v>
      </c>
      <c r="F2" s="22">
        <v>3</v>
      </c>
      <c r="G2" s="22">
        <v>0</v>
      </c>
      <c r="H2" s="22">
        <v>2</v>
      </c>
      <c r="I2" s="22">
        <v>2</v>
      </c>
      <c r="J2" s="22">
        <v>2</v>
      </c>
      <c r="K2" s="22">
        <v>2</v>
      </c>
      <c r="L2" s="5">
        <f t="shared" ref="L2:L33" si="0">SUM(H2*1)+(I2*2)+(J2*3)+(K2*4)</f>
        <v>20</v>
      </c>
      <c r="M2" s="16">
        <f t="shared" ref="M2:M33" si="1">IF(L2&lt;10,0,IF(L2&lt;20,1,IF(L2&lt;30,2,IF(L2&lt;40,3,IF(L2&gt;=40,4)))))</f>
        <v>2</v>
      </c>
      <c r="N2" s="17" t="s">
        <v>8</v>
      </c>
      <c r="O2" s="5">
        <f t="shared" ref="O2:O33" si="2">SUM(H2*1)+(I2*2)+(J2*3)+(K2*4)+IF(N2="Y",2,IF(N2="N",0))</f>
        <v>22</v>
      </c>
      <c r="P2" s="17" t="s">
        <v>20</v>
      </c>
      <c r="Q2" s="9" t="str">
        <f t="shared" ref="Q2:Q33" si="3">IF(AND(R2&gt;25,P2="Y"),"Yes","No")</f>
        <v>No</v>
      </c>
      <c r="R2" s="6">
        <f t="shared" ref="R2:R33" si="4">SUM(E2*3)+(F2*2)+(G2*1)+(O2)</f>
        <v>43</v>
      </c>
    </row>
    <row r="3" spans="1:18" x14ac:dyDescent="0.25">
      <c r="A3" s="3">
        <v>1</v>
      </c>
      <c r="B3" s="4" t="s">
        <v>46</v>
      </c>
      <c r="C3" s="4" t="s">
        <v>47</v>
      </c>
      <c r="D3" s="4" t="s">
        <v>48</v>
      </c>
      <c r="E3" s="4">
        <v>4</v>
      </c>
      <c r="F3" s="4">
        <v>3</v>
      </c>
      <c r="G3" s="4">
        <v>0</v>
      </c>
      <c r="H3" s="4">
        <v>1</v>
      </c>
      <c r="I3" s="4">
        <v>2</v>
      </c>
      <c r="J3" s="4">
        <v>2</v>
      </c>
      <c r="K3" s="4">
        <v>1</v>
      </c>
      <c r="L3" s="5">
        <f t="shared" si="0"/>
        <v>15</v>
      </c>
      <c r="M3" s="16">
        <f t="shared" si="1"/>
        <v>1</v>
      </c>
      <c r="N3" s="17" t="s">
        <v>20</v>
      </c>
      <c r="O3" s="5">
        <f t="shared" si="2"/>
        <v>15</v>
      </c>
      <c r="P3" s="17" t="s">
        <v>20</v>
      </c>
      <c r="Q3" s="9" t="str">
        <f t="shared" si="3"/>
        <v>No</v>
      </c>
      <c r="R3" s="6">
        <f t="shared" si="4"/>
        <v>33</v>
      </c>
    </row>
    <row r="4" spans="1:18" x14ac:dyDescent="0.25">
      <c r="A4" s="3">
        <v>1</v>
      </c>
      <c r="B4" s="4" t="s">
        <v>43</v>
      </c>
      <c r="C4" s="4" t="s">
        <v>44</v>
      </c>
      <c r="D4" s="4" t="s">
        <v>45</v>
      </c>
      <c r="E4" s="4">
        <v>3</v>
      </c>
      <c r="F4" s="4">
        <v>3</v>
      </c>
      <c r="G4" s="4">
        <v>0</v>
      </c>
      <c r="H4" s="4">
        <v>1</v>
      </c>
      <c r="I4" s="4">
        <v>2</v>
      </c>
      <c r="J4" s="4">
        <v>2</v>
      </c>
      <c r="K4" s="4">
        <v>1</v>
      </c>
      <c r="L4" s="5">
        <f t="shared" si="0"/>
        <v>15</v>
      </c>
      <c r="M4" s="16">
        <f t="shared" si="1"/>
        <v>1</v>
      </c>
      <c r="N4" s="17" t="s">
        <v>8</v>
      </c>
      <c r="O4" s="5">
        <f t="shared" si="2"/>
        <v>17</v>
      </c>
      <c r="P4" s="17" t="s">
        <v>20</v>
      </c>
      <c r="Q4" s="9" t="str">
        <f t="shared" si="3"/>
        <v>No</v>
      </c>
      <c r="R4" s="6">
        <f t="shared" si="4"/>
        <v>32</v>
      </c>
    </row>
    <row r="5" spans="1:18" x14ac:dyDescent="0.25">
      <c r="A5" s="3">
        <v>1</v>
      </c>
      <c r="B5" s="4" t="s">
        <v>49</v>
      </c>
      <c r="C5" s="4" t="s">
        <v>50</v>
      </c>
      <c r="D5" s="4" t="s">
        <v>51</v>
      </c>
      <c r="E5" s="4">
        <v>3</v>
      </c>
      <c r="F5" s="4">
        <v>3</v>
      </c>
      <c r="G5" s="4">
        <v>1</v>
      </c>
      <c r="H5" s="4">
        <v>2</v>
      </c>
      <c r="I5" s="4">
        <v>1</v>
      </c>
      <c r="J5" s="4">
        <v>1</v>
      </c>
      <c r="K5" s="4">
        <v>2</v>
      </c>
      <c r="L5" s="5">
        <f t="shared" si="0"/>
        <v>15</v>
      </c>
      <c r="M5" s="16">
        <f t="shared" si="1"/>
        <v>1</v>
      </c>
      <c r="N5" s="17" t="s">
        <v>20</v>
      </c>
      <c r="O5" s="5">
        <f t="shared" si="2"/>
        <v>15</v>
      </c>
      <c r="P5" s="17" t="s">
        <v>20</v>
      </c>
      <c r="Q5" s="9" t="str">
        <f t="shared" si="3"/>
        <v>No</v>
      </c>
      <c r="R5" s="6">
        <f t="shared" si="4"/>
        <v>31</v>
      </c>
    </row>
    <row r="6" spans="1:18" x14ac:dyDescent="0.25">
      <c r="A6" s="3">
        <v>1</v>
      </c>
      <c r="B6" s="4" t="s">
        <v>55</v>
      </c>
      <c r="C6" s="4" t="s">
        <v>56</v>
      </c>
      <c r="D6" s="4" t="s">
        <v>57</v>
      </c>
      <c r="E6" s="4">
        <v>0</v>
      </c>
      <c r="F6" s="4">
        <v>0</v>
      </c>
      <c r="G6" s="4">
        <v>8</v>
      </c>
      <c r="H6" s="4">
        <v>2</v>
      </c>
      <c r="I6" s="4">
        <v>2</v>
      </c>
      <c r="J6" s="4">
        <v>1</v>
      </c>
      <c r="K6" s="4">
        <v>2</v>
      </c>
      <c r="L6" s="5">
        <f t="shared" si="0"/>
        <v>17</v>
      </c>
      <c r="M6" s="16">
        <f t="shared" si="1"/>
        <v>1</v>
      </c>
      <c r="N6" s="17" t="s">
        <v>20</v>
      </c>
      <c r="O6" s="5">
        <f t="shared" si="2"/>
        <v>17</v>
      </c>
      <c r="P6" s="17" t="s">
        <v>20</v>
      </c>
      <c r="Q6" s="9" t="str">
        <f t="shared" si="3"/>
        <v>No</v>
      </c>
      <c r="R6" s="6">
        <f t="shared" si="4"/>
        <v>25</v>
      </c>
    </row>
    <row r="7" spans="1:18" x14ac:dyDescent="0.25">
      <c r="A7" s="3">
        <v>1</v>
      </c>
      <c r="B7" s="4" t="s">
        <v>52</v>
      </c>
      <c r="C7" s="4" t="s">
        <v>53</v>
      </c>
      <c r="D7" s="4" t="s">
        <v>54</v>
      </c>
      <c r="E7" s="4">
        <v>2</v>
      </c>
      <c r="F7" s="4">
        <v>1</v>
      </c>
      <c r="G7" s="4">
        <v>2</v>
      </c>
      <c r="H7" s="4">
        <v>1</v>
      </c>
      <c r="I7" s="4">
        <v>2</v>
      </c>
      <c r="J7" s="4">
        <v>1</v>
      </c>
      <c r="K7" s="4">
        <v>1</v>
      </c>
      <c r="L7" s="5">
        <f t="shared" si="0"/>
        <v>12</v>
      </c>
      <c r="M7" s="16">
        <f t="shared" si="1"/>
        <v>1</v>
      </c>
      <c r="N7" s="17" t="s">
        <v>8</v>
      </c>
      <c r="O7" s="5">
        <f t="shared" si="2"/>
        <v>14</v>
      </c>
      <c r="P7" s="17" t="s">
        <v>20</v>
      </c>
      <c r="Q7" s="9" t="str">
        <f t="shared" si="3"/>
        <v>No</v>
      </c>
      <c r="R7" s="6">
        <f t="shared" si="4"/>
        <v>24</v>
      </c>
    </row>
    <row r="8" spans="1:18" x14ac:dyDescent="0.25">
      <c r="A8" s="3">
        <v>1</v>
      </c>
      <c r="B8" s="4" t="s">
        <v>43</v>
      </c>
      <c r="C8" s="4" t="s">
        <v>58</v>
      </c>
      <c r="D8" s="4" t="s">
        <v>59</v>
      </c>
      <c r="E8" s="4">
        <v>3</v>
      </c>
      <c r="F8" s="4">
        <v>2</v>
      </c>
      <c r="G8" s="4">
        <v>0</v>
      </c>
      <c r="H8" s="4">
        <v>1</v>
      </c>
      <c r="I8" s="4">
        <v>1</v>
      </c>
      <c r="J8" s="4">
        <v>1</v>
      </c>
      <c r="K8" s="4">
        <v>1</v>
      </c>
      <c r="L8" s="5">
        <f t="shared" si="0"/>
        <v>10</v>
      </c>
      <c r="M8" s="16">
        <f t="shared" si="1"/>
        <v>1</v>
      </c>
      <c r="N8" s="17" t="s">
        <v>20</v>
      </c>
      <c r="O8" s="5">
        <f t="shared" si="2"/>
        <v>10</v>
      </c>
      <c r="P8" s="17" t="s">
        <v>20</v>
      </c>
      <c r="Q8" s="9" t="str">
        <f t="shared" si="3"/>
        <v>No</v>
      </c>
      <c r="R8" s="6">
        <f t="shared" si="4"/>
        <v>23</v>
      </c>
    </row>
    <row r="9" spans="1:18" ht="15.75" thickBot="1" x14ac:dyDescent="0.3">
      <c r="A9" s="3">
        <v>1</v>
      </c>
      <c r="B9" s="4" t="s">
        <v>49</v>
      </c>
      <c r="C9" s="4" t="s">
        <v>60</v>
      </c>
      <c r="D9" s="4" t="s">
        <v>61</v>
      </c>
      <c r="E9" s="4">
        <v>1</v>
      </c>
      <c r="F9" s="4">
        <v>2</v>
      </c>
      <c r="G9" s="4">
        <v>3</v>
      </c>
      <c r="H9" s="4">
        <v>2</v>
      </c>
      <c r="I9" s="4">
        <v>1</v>
      </c>
      <c r="J9" s="4">
        <v>1</v>
      </c>
      <c r="K9" s="4">
        <v>1</v>
      </c>
      <c r="L9" s="5">
        <f t="shared" si="0"/>
        <v>11</v>
      </c>
      <c r="M9" s="16">
        <f t="shared" si="1"/>
        <v>1</v>
      </c>
      <c r="N9" s="17" t="s">
        <v>20</v>
      </c>
      <c r="O9" s="5">
        <f t="shared" si="2"/>
        <v>11</v>
      </c>
      <c r="P9" s="17" t="s">
        <v>20</v>
      </c>
      <c r="Q9" s="9" t="str">
        <f t="shared" si="3"/>
        <v>No</v>
      </c>
      <c r="R9" s="6">
        <f t="shared" si="4"/>
        <v>21</v>
      </c>
    </row>
    <row r="10" spans="1:18" ht="15.75" thickBot="1" x14ac:dyDescent="0.3">
      <c r="A10" s="3">
        <v>1</v>
      </c>
      <c r="B10" s="23"/>
      <c r="C10" s="23"/>
      <c r="D10" s="24"/>
      <c r="E10" s="4"/>
      <c r="F10" s="4"/>
      <c r="G10" s="4"/>
      <c r="H10" s="4"/>
      <c r="I10" s="4"/>
      <c r="J10" s="4"/>
      <c r="K10" s="4"/>
      <c r="L10" s="5">
        <f t="shared" si="0"/>
        <v>0</v>
      </c>
      <c r="M10" s="16">
        <f t="shared" si="1"/>
        <v>0</v>
      </c>
      <c r="N10" s="17"/>
      <c r="O10" s="5">
        <f t="shared" si="2"/>
        <v>0</v>
      </c>
      <c r="P10" s="17"/>
      <c r="Q10" s="9" t="str">
        <f t="shared" si="3"/>
        <v>No</v>
      </c>
      <c r="R10" s="6">
        <f t="shared" si="4"/>
        <v>0</v>
      </c>
    </row>
    <row r="11" spans="1:18" ht="15.75" thickBot="1" x14ac:dyDescent="0.3">
      <c r="A11" s="3">
        <v>1</v>
      </c>
      <c r="B11" s="23"/>
      <c r="C11" s="23"/>
      <c r="D11" s="25"/>
      <c r="E11" s="4"/>
      <c r="F11" s="4"/>
      <c r="G11" s="4"/>
      <c r="H11" s="4"/>
      <c r="I11" s="4"/>
      <c r="J11" s="4"/>
      <c r="K11" s="4"/>
      <c r="L11" s="5">
        <f t="shared" si="0"/>
        <v>0</v>
      </c>
      <c r="M11" s="16">
        <f t="shared" si="1"/>
        <v>0</v>
      </c>
      <c r="N11" s="17"/>
      <c r="O11" s="5">
        <f t="shared" si="2"/>
        <v>0</v>
      </c>
      <c r="P11" s="17"/>
      <c r="Q11" s="9" t="str">
        <f t="shared" si="3"/>
        <v>No</v>
      </c>
      <c r="R11" s="6">
        <f t="shared" si="4"/>
        <v>0</v>
      </c>
    </row>
    <row r="12" spans="1:18" ht="15.75" thickBot="1" x14ac:dyDescent="0.3">
      <c r="A12" s="3">
        <v>1</v>
      </c>
      <c r="B12" s="23"/>
      <c r="C12" s="23"/>
      <c r="D12" s="27"/>
      <c r="E12" s="4"/>
      <c r="F12" s="4"/>
      <c r="G12" s="4"/>
      <c r="H12" s="4"/>
      <c r="I12" s="4"/>
      <c r="J12" s="4"/>
      <c r="K12" s="4"/>
      <c r="L12" s="5">
        <f t="shared" si="0"/>
        <v>0</v>
      </c>
      <c r="M12" s="16">
        <f t="shared" si="1"/>
        <v>0</v>
      </c>
      <c r="N12" s="17"/>
      <c r="O12" s="5">
        <f t="shared" si="2"/>
        <v>0</v>
      </c>
      <c r="P12" s="17"/>
      <c r="Q12" s="9" t="str">
        <f t="shared" si="3"/>
        <v>No</v>
      </c>
      <c r="R12" s="6">
        <f t="shared" si="4"/>
        <v>0</v>
      </c>
    </row>
    <row r="13" spans="1:18" ht="15.75" thickBot="1" x14ac:dyDescent="0.3">
      <c r="A13" s="3">
        <v>1</v>
      </c>
      <c r="B13" s="23"/>
      <c r="C13" s="23"/>
      <c r="D13" s="27"/>
      <c r="E13" s="4"/>
      <c r="F13" s="4"/>
      <c r="G13" s="4"/>
      <c r="H13" s="4"/>
      <c r="I13" s="4"/>
      <c r="J13" s="4"/>
      <c r="K13" s="4"/>
      <c r="L13" s="5">
        <f t="shared" si="0"/>
        <v>0</v>
      </c>
      <c r="M13" s="16">
        <f t="shared" si="1"/>
        <v>0</v>
      </c>
      <c r="N13" s="17"/>
      <c r="O13" s="5">
        <f t="shared" si="2"/>
        <v>0</v>
      </c>
      <c r="P13" s="17"/>
      <c r="Q13" s="9" t="str">
        <f t="shared" si="3"/>
        <v>No</v>
      </c>
      <c r="R13" s="6">
        <f t="shared" si="4"/>
        <v>0</v>
      </c>
    </row>
    <row r="14" spans="1:18" ht="15.75" thickBot="1" x14ac:dyDescent="0.3">
      <c r="A14" s="3">
        <v>1</v>
      </c>
      <c r="B14" s="23"/>
      <c r="C14" s="23"/>
      <c r="D14" s="27"/>
      <c r="E14" s="4"/>
      <c r="F14" s="4"/>
      <c r="G14" s="4"/>
      <c r="H14" s="4"/>
      <c r="I14" s="4"/>
      <c r="J14" s="4"/>
      <c r="K14" s="4"/>
      <c r="L14" s="5">
        <f t="shared" si="0"/>
        <v>0</v>
      </c>
      <c r="M14" s="16">
        <f t="shared" si="1"/>
        <v>0</v>
      </c>
      <c r="N14" s="17"/>
      <c r="O14" s="5">
        <f t="shared" si="2"/>
        <v>0</v>
      </c>
      <c r="P14" s="17"/>
      <c r="Q14" s="9" t="str">
        <f t="shared" si="3"/>
        <v>No</v>
      </c>
      <c r="R14" s="6">
        <f t="shared" si="4"/>
        <v>0</v>
      </c>
    </row>
    <row r="15" spans="1:18" ht="15.75" thickBot="1" x14ac:dyDescent="0.3">
      <c r="A15" s="3">
        <v>1</v>
      </c>
      <c r="B15" s="23"/>
      <c r="C15" s="23"/>
      <c r="D15" s="27"/>
      <c r="E15" s="4"/>
      <c r="F15" s="4"/>
      <c r="G15" s="4"/>
      <c r="H15" s="4"/>
      <c r="I15" s="4"/>
      <c r="J15" s="4"/>
      <c r="K15" s="4"/>
      <c r="L15" s="5">
        <f t="shared" si="0"/>
        <v>0</v>
      </c>
      <c r="M15" s="16">
        <f t="shared" si="1"/>
        <v>0</v>
      </c>
      <c r="N15" s="17"/>
      <c r="O15" s="5">
        <f t="shared" si="2"/>
        <v>0</v>
      </c>
      <c r="P15" s="17"/>
      <c r="Q15" s="9" t="str">
        <f t="shared" si="3"/>
        <v>No</v>
      </c>
      <c r="R15" s="6">
        <f t="shared" si="4"/>
        <v>0</v>
      </c>
    </row>
    <row r="16" spans="1:18" ht="16.5" thickBot="1" x14ac:dyDescent="0.3">
      <c r="A16" s="3">
        <v>1</v>
      </c>
      <c r="B16" s="23"/>
      <c r="C16" s="28"/>
      <c r="D16" s="26"/>
      <c r="E16" s="4"/>
      <c r="F16" s="4"/>
      <c r="G16" s="4"/>
      <c r="H16" s="4"/>
      <c r="I16" s="4"/>
      <c r="J16" s="4"/>
      <c r="K16" s="4"/>
      <c r="L16" s="5">
        <f t="shared" si="0"/>
        <v>0</v>
      </c>
      <c r="M16" s="16">
        <f t="shared" si="1"/>
        <v>0</v>
      </c>
      <c r="N16" s="17"/>
      <c r="O16" s="5">
        <f t="shared" si="2"/>
        <v>0</v>
      </c>
      <c r="P16" s="17"/>
      <c r="Q16" s="9" t="str">
        <f t="shared" si="3"/>
        <v>No</v>
      </c>
      <c r="R16" s="6">
        <f t="shared" si="4"/>
        <v>0</v>
      </c>
    </row>
    <row r="17" spans="1:18" ht="15.75" thickBot="1" x14ac:dyDescent="0.3">
      <c r="A17" s="3">
        <v>1</v>
      </c>
      <c r="B17" s="23"/>
      <c r="C17" s="23"/>
      <c r="D17" s="29"/>
      <c r="E17" s="4"/>
      <c r="F17" s="4"/>
      <c r="G17" s="4"/>
      <c r="H17" s="4"/>
      <c r="I17" s="4"/>
      <c r="J17" s="4"/>
      <c r="K17" s="4"/>
      <c r="L17" s="5">
        <f t="shared" si="0"/>
        <v>0</v>
      </c>
      <c r="M17" s="16">
        <f t="shared" si="1"/>
        <v>0</v>
      </c>
      <c r="N17" s="17"/>
      <c r="O17" s="5">
        <f t="shared" si="2"/>
        <v>0</v>
      </c>
      <c r="P17" s="17"/>
      <c r="Q17" s="9" t="str">
        <f t="shared" si="3"/>
        <v>No</v>
      </c>
      <c r="R17" s="6">
        <f t="shared" si="4"/>
        <v>0</v>
      </c>
    </row>
    <row r="18" spans="1:18" ht="16.5" thickBot="1" x14ac:dyDescent="0.3">
      <c r="A18" s="3">
        <v>1</v>
      </c>
      <c r="B18" s="23"/>
      <c r="C18" s="23"/>
      <c r="D18" s="30"/>
      <c r="E18" s="4"/>
      <c r="F18" s="4"/>
      <c r="G18" s="4"/>
      <c r="H18" s="4"/>
      <c r="I18" s="4"/>
      <c r="J18" s="4"/>
      <c r="K18" s="4"/>
      <c r="L18" s="5">
        <f t="shared" si="0"/>
        <v>0</v>
      </c>
      <c r="M18" s="16">
        <f t="shared" si="1"/>
        <v>0</v>
      </c>
      <c r="N18" s="17"/>
      <c r="O18" s="5">
        <f t="shared" si="2"/>
        <v>0</v>
      </c>
      <c r="P18" s="17"/>
      <c r="Q18" s="9" t="str">
        <f t="shared" si="3"/>
        <v>No</v>
      </c>
      <c r="R18" s="6">
        <f t="shared" si="4"/>
        <v>0</v>
      </c>
    </row>
    <row r="19" spans="1:18" ht="15.75" thickBot="1" x14ac:dyDescent="0.3">
      <c r="A19" s="3">
        <v>1</v>
      </c>
      <c r="B19" s="23"/>
      <c r="C19" s="23"/>
      <c r="D19" s="31"/>
      <c r="E19" s="4"/>
      <c r="F19" s="4"/>
      <c r="G19" s="4"/>
      <c r="H19" s="4"/>
      <c r="I19" s="4"/>
      <c r="J19" s="4"/>
      <c r="K19" s="4"/>
      <c r="L19" s="5">
        <f t="shared" si="0"/>
        <v>0</v>
      </c>
      <c r="M19" s="16">
        <f t="shared" si="1"/>
        <v>0</v>
      </c>
      <c r="N19" s="17"/>
      <c r="O19" s="5">
        <f t="shared" si="2"/>
        <v>0</v>
      </c>
      <c r="P19" s="17"/>
      <c r="Q19" s="9" t="str">
        <f t="shared" si="3"/>
        <v>No</v>
      </c>
      <c r="R19" s="6">
        <f t="shared" si="4"/>
        <v>0</v>
      </c>
    </row>
    <row r="20" spans="1:18" x14ac:dyDescent="0.25">
      <c r="A20" s="3">
        <v>1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5">
        <f t="shared" si="0"/>
        <v>0</v>
      </c>
      <c r="M20" s="16">
        <f t="shared" si="1"/>
        <v>0</v>
      </c>
      <c r="N20" s="17"/>
      <c r="O20" s="5">
        <f t="shared" si="2"/>
        <v>0</v>
      </c>
      <c r="P20" s="17"/>
      <c r="Q20" s="9" t="str">
        <f t="shared" si="3"/>
        <v>No</v>
      </c>
      <c r="R20" s="6">
        <f t="shared" si="4"/>
        <v>0</v>
      </c>
    </row>
    <row r="21" spans="1:18" x14ac:dyDescent="0.25">
      <c r="A21" s="3">
        <v>1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5">
        <f t="shared" si="0"/>
        <v>0</v>
      </c>
      <c r="M21" s="16">
        <f t="shared" si="1"/>
        <v>0</v>
      </c>
      <c r="N21" s="17"/>
      <c r="O21" s="5">
        <f t="shared" si="2"/>
        <v>0</v>
      </c>
      <c r="P21" s="17"/>
      <c r="Q21" s="9" t="str">
        <f t="shared" si="3"/>
        <v>No</v>
      </c>
      <c r="R21" s="6">
        <f t="shared" si="4"/>
        <v>0</v>
      </c>
    </row>
    <row r="22" spans="1:18" x14ac:dyDescent="0.25">
      <c r="A22" s="3">
        <v>1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5">
        <f t="shared" si="0"/>
        <v>0</v>
      </c>
      <c r="M22" s="16">
        <f t="shared" si="1"/>
        <v>0</v>
      </c>
      <c r="N22" s="17"/>
      <c r="O22" s="5">
        <f t="shared" si="2"/>
        <v>0</v>
      </c>
      <c r="P22" s="17"/>
      <c r="Q22" s="9" t="str">
        <f t="shared" si="3"/>
        <v>No</v>
      </c>
      <c r="R22" s="6">
        <f t="shared" si="4"/>
        <v>0</v>
      </c>
    </row>
    <row r="23" spans="1:18" x14ac:dyDescent="0.25">
      <c r="A23" s="3">
        <v>1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5">
        <f t="shared" si="0"/>
        <v>0</v>
      </c>
      <c r="M23" s="16">
        <f t="shared" si="1"/>
        <v>0</v>
      </c>
      <c r="N23" s="17"/>
      <c r="O23" s="5">
        <f t="shared" si="2"/>
        <v>0</v>
      </c>
      <c r="P23" s="17"/>
      <c r="Q23" s="9" t="str">
        <f t="shared" si="3"/>
        <v>No</v>
      </c>
      <c r="R23" s="6">
        <f t="shared" si="4"/>
        <v>0</v>
      </c>
    </row>
    <row r="24" spans="1:18" x14ac:dyDescent="0.25">
      <c r="A24" s="3">
        <v>1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5">
        <f t="shared" si="0"/>
        <v>0</v>
      </c>
      <c r="M24" s="16">
        <f t="shared" si="1"/>
        <v>0</v>
      </c>
      <c r="N24" s="17"/>
      <c r="O24" s="5">
        <f t="shared" si="2"/>
        <v>0</v>
      </c>
      <c r="P24" s="17"/>
      <c r="Q24" s="9" t="str">
        <f t="shared" si="3"/>
        <v>No</v>
      </c>
      <c r="R24" s="6">
        <f t="shared" si="4"/>
        <v>0</v>
      </c>
    </row>
    <row r="25" spans="1:18" x14ac:dyDescent="0.25">
      <c r="A25" s="3">
        <v>1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5">
        <f t="shared" si="0"/>
        <v>0</v>
      </c>
      <c r="M25" s="16">
        <f t="shared" si="1"/>
        <v>0</v>
      </c>
      <c r="N25" s="17"/>
      <c r="O25" s="5">
        <f t="shared" si="2"/>
        <v>0</v>
      </c>
      <c r="P25" s="17"/>
      <c r="Q25" s="9" t="str">
        <f t="shared" si="3"/>
        <v>No</v>
      </c>
      <c r="R25" s="6">
        <f t="shared" si="4"/>
        <v>0</v>
      </c>
    </row>
    <row r="26" spans="1:18" x14ac:dyDescent="0.25">
      <c r="A26" s="3">
        <v>1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5">
        <f t="shared" si="0"/>
        <v>0</v>
      </c>
      <c r="M26" s="16">
        <f t="shared" si="1"/>
        <v>0</v>
      </c>
      <c r="N26" s="17"/>
      <c r="O26" s="5">
        <f t="shared" si="2"/>
        <v>0</v>
      </c>
      <c r="P26" s="17"/>
      <c r="Q26" s="9" t="str">
        <f t="shared" si="3"/>
        <v>No</v>
      </c>
      <c r="R26" s="6">
        <f t="shared" si="4"/>
        <v>0</v>
      </c>
    </row>
    <row r="27" spans="1:18" x14ac:dyDescent="0.25">
      <c r="A27" s="3">
        <v>1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5">
        <f t="shared" si="0"/>
        <v>0</v>
      </c>
      <c r="M27" s="16">
        <f t="shared" si="1"/>
        <v>0</v>
      </c>
      <c r="N27" s="17"/>
      <c r="O27" s="5">
        <f t="shared" si="2"/>
        <v>0</v>
      </c>
      <c r="P27" s="17"/>
      <c r="Q27" s="9" t="str">
        <f t="shared" si="3"/>
        <v>No</v>
      </c>
      <c r="R27" s="6">
        <f t="shared" si="4"/>
        <v>0</v>
      </c>
    </row>
    <row r="28" spans="1:18" x14ac:dyDescent="0.25">
      <c r="A28" s="3">
        <v>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5">
        <f t="shared" si="0"/>
        <v>0</v>
      </c>
      <c r="M28" s="16">
        <f t="shared" si="1"/>
        <v>0</v>
      </c>
      <c r="N28" s="17"/>
      <c r="O28" s="5">
        <f t="shared" si="2"/>
        <v>0</v>
      </c>
      <c r="P28" s="17"/>
      <c r="Q28" s="9" t="str">
        <f t="shared" si="3"/>
        <v>No</v>
      </c>
      <c r="R28" s="6">
        <f t="shared" si="4"/>
        <v>0</v>
      </c>
    </row>
    <row r="29" spans="1:18" x14ac:dyDescent="0.25">
      <c r="A29" s="3">
        <v>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5">
        <f t="shared" si="0"/>
        <v>0</v>
      </c>
      <c r="M29" s="16">
        <f t="shared" si="1"/>
        <v>0</v>
      </c>
      <c r="N29" s="17"/>
      <c r="O29" s="5">
        <f t="shared" si="2"/>
        <v>0</v>
      </c>
      <c r="P29" s="17"/>
      <c r="Q29" s="9" t="str">
        <f t="shared" si="3"/>
        <v>No</v>
      </c>
      <c r="R29" s="6">
        <f t="shared" si="4"/>
        <v>0</v>
      </c>
    </row>
    <row r="30" spans="1:18" x14ac:dyDescent="0.25">
      <c r="A30" s="3">
        <v>1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5">
        <f t="shared" si="0"/>
        <v>0</v>
      </c>
      <c r="M30" s="16">
        <f t="shared" si="1"/>
        <v>0</v>
      </c>
      <c r="N30" s="17"/>
      <c r="O30" s="5">
        <f t="shared" si="2"/>
        <v>0</v>
      </c>
      <c r="P30" s="17"/>
      <c r="Q30" s="9" t="str">
        <f t="shared" si="3"/>
        <v>No</v>
      </c>
      <c r="R30" s="6">
        <f t="shared" si="4"/>
        <v>0</v>
      </c>
    </row>
    <row r="31" spans="1:18" x14ac:dyDescent="0.25">
      <c r="A31" s="3">
        <v>1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5">
        <f t="shared" si="0"/>
        <v>0</v>
      </c>
      <c r="M31" s="16">
        <f t="shared" si="1"/>
        <v>0</v>
      </c>
      <c r="N31" s="17"/>
      <c r="O31" s="5">
        <f t="shared" si="2"/>
        <v>0</v>
      </c>
      <c r="P31" s="17"/>
      <c r="Q31" s="9" t="str">
        <f t="shared" si="3"/>
        <v>No</v>
      </c>
      <c r="R31" s="6">
        <f t="shared" si="4"/>
        <v>0</v>
      </c>
    </row>
    <row r="32" spans="1:18" x14ac:dyDescent="0.25">
      <c r="A32" s="3">
        <v>1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5">
        <f t="shared" si="0"/>
        <v>0</v>
      </c>
      <c r="M32" s="16">
        <f t="shared" si="1"/>
        <v>0</v>
      </c>
      <c r="N32" s="17"/>
      <c r="O32" s="5">
        <f t="shared" si="2"/>
        <v>0</v>
      </c>
      <c r="P32" s="17"/>
      <c r="Q32" s="9" t="str">
        <f t="shared" si="3"/>
        <v>No</v>
      </c>
      <c r="R32" s="6">
        <f t="shared" si="4"/>
        <v>0</v>
      </c>
    </row>
    <row r="33" spans="1:18" x14ac:dyDescent="0.25">
      <c r="A33" s="3">
        <v>1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5">
        <f t="shared" si="0"/>
        <v>0</v>
      </c>
      <c r="M33" s="16">
        <f t="shared" si="1"/>
        <v>0</v>
      </c>
      <c r="N33" s="17"/>
      <c r="O33" s="5">
        <f t="shared" si="2"/>
        <v>0</v>
      </c>
      <c r="P33" s="17"/>
      <c r="Q33" s="9" t="str">
        <f t="shared" si="3"/>
        <v>No</v>
      </c>
      <c r="R33" s="6">
        <f t="shared" si="4"/>
        <v>0</v>
      </c>
    </row>
    <row r="34" spans="1:18" x14ac:dyDescent="0.25">
      <c r="A34" s="3">
        <v>1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5">
        <f t="shared" ref="L34:L65" si="5">SUM(H34*1)+(I34*2)+(J34*3)+(K34*4)</f>
        <v>0</v>
      </c>
      <c r="M34" s="16">
        <f t="shared" ref="M34:M65" si="6">IF(L34&lt;10,0,IF(L34&lt;20,1,IF(L34&lt;30,2,IF(L34&lt;40,3,IF(L34&gt;=40,4)))))</f>
        <v>0</v>
      </c>
      <c r="N34" s="17"/>
      <c r="O34" s="5">
        <f t="shared" ref="O34:O65" si="7">SUM(H34*1)+(I34*2)+(J34*3)+(K34*4)+IF(N34="Y",2,IF(N34="N",0))</f>
        <v>0</v>
      </c>
      <c r="P34" s="17"/>
      <c r="Q34" s="9" t="str">
        <f t="shared" ref="Q34:Q65" si="8">IF(AND(R34&gt;25,P34="Y"),"Yes","No")</f>
        <v>No</v>
      </c>
      <c r="R34" s="6">
        <f t="shared" ref="R34:R65" si="9">SUM(E34*3)+(F34*2)+(G34*1)+(O34)</f>
        <v>0</v>
      </c>
    </row>
    <row r="35" spans="1:18" x14ac:dyDescent="0.25">
      <c r="A35" s="3">
        <v>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5">
        <f t="shared" si="5"/>
        <v>0</v>
      </c>
      <c r="M35" s="16">
        <f t="shared" si="6"/>
        <v>0</v>
      </c>
      <c r="N35" s="17"/>
      <c r="O35" s="5">
        <f t="shared" si="7"/>
        <v>0</v>
      </c>
      <c r="P35" s="17"/>
      <c r="Q35" s="9" t="str">
        <f t="shared" si="8"/>
        <v>No</v>
      </c>
      <c r="R35" s="6">
        <f t="shared" si="9"/>
        <v>0</v>
      </c>
    </row>
    <row r="36" spans="1:18" x14ac:dyDescent="0.25">
      <c r="A36" s="3">
        <v>1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5">
        <f t="shared" si="5"/>
        <v>0</v>
      </c>
      <c r="M36" s="16">
        <f t="shared" si="6"/>
        <v>0</v>
      </c>
      <c r="N36" s="17"/>
      <c r="O36" s="5">
        <f t="shared" si="7"/>
        <v>0</v>
      </c>
      <c r="P36" s="17"/>
      <c r="Q36" s="9" t="str">
        <f t="shared" si="8"/>
        <v>No</v>
      </c>
      <c r="R36" s="6">
        <f t="shared" si="9"/>
        <v>0</v>
      </c>
    </row>
    <row r="37" spans="1:18" x14ac:dyDescent="0.25">
      <c r="A37" s="3">
        <v>1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5">
        <f t="shared" si="5"/>
        <v>0</v>
      </c>
      <c r="M37" s="16">
        <f t="shared" si="6"/>
        <v>0</v>
      </c>
      <c r="N37" s="17"/>
      <c r="O37" s="5">
        <f t="shared" si="7"/>
        <v>0</v>
      </c>
      <c r="P37" s="17"/>
      <c r="Q37" s="9" t="str">
        <f t="shared" si="8"/>
        <v>No</v>
      </c>
      <c r="R37" s="6">
        <f t="shared" si="9"/>
        <v>0</v>
      </c>
    </row>
    <row r="38" spans="1:18" x14ac:dyDescent="0.25">
      <c r="A38" s="3">
        <v>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5">
        <f t="shared" si="5"/>
        <v>0</v>
      </c>
      <c r="M38" s="16">
        <f t="shared" si="6"/>
        <v>0</v>
      </c>
      <c r="N38" s="17"/>
      <c r="O38" s="5">
        <f t="shared" si="7"/>
        <v>0</v>
      </c>
      <c r="P38" s="17"/>
      <c r="Q38" s="9" t="str">
        <f t="shared" si="8"/>
        <v>No</v>
      </c>
      <c r="R38" s="6">
        <f t="shared" si="9"/>
        <v>0</v>
      </c>
    </row>
    <row r="39" spans="1:18" x14ac:dyDescent="0.25">
      <c r="A39" s="3">
        <v>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5">
        <f t="shared" si="5"/>
        <v>0</v>
      </c>
      <c r="M39" s="16">
        <f t="shared" si="6"/>
        <v>0</v>
      </c>
      <c r="N39" s="17"/>
      <c r="O39" s="5">
        <f t="shared" si="7"/>
        <v>0</v>
      </c>
      <c r="P39" s="17"/>
      <c r="Q39" s="9" t="str">
        <f t="shared" si="8"/>
        <v>No</v>
      </c>
      <c r="R39" s="6">
        <f t="shared" si="9"/>
        <v>0</v>
      </c>
    </row>
    <row r="40" spans="1:18" x14ac:dyDescent="0.25">
      <c r="A40" s="3">
        <v>1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5">
        <f t="shared" si="5"/>
        <v>0</v>
      </c>
      <c r="M40" s="16">
        <f t="shared" si="6"/>
        <v>0</v>
      </c>
      <c r="N40" s="17"/>
      <c r="O40" s="5">
        <f t="shared" si="7"/>
        <v>0</v>
      </c>
      <c r="P40" s="17"/>
      <c r="Q40" s="9" t="str">
        <f t="shared" si="8"/>
        <v>No</v>
      </c>
      <c r="R40" s="6">
        <f t="shared" si="9"/>
        <v>0</v>
      </c>
    </row>
    <row r="41" spans="1:18" x14ac:dyDescent="0.25">
      <c r="A41" s="3">
        <v>1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5">
        <f t="shared" si="5"/>
        <v>0</v>
      </c>
      <c r="M41" s="16">
        <f t="shared" si="6"/>
        <v>0</v>
      </c>
      <c r="N41" s="17"/>
      <c r="O41" s="5">
        <f t="shared" si="7"/>
        <v>0</v>
      </c>
      <c r="P41" s="17"/>
      <c r="Q41" s="9" t="str">
        <f t="shared" si="8"/>
        <v>No</v>
      </c>
      <c r="R41" s="6">
        <f t="shared" si="9"/>
        <v>0</v>
      </c>
    </row>
    <row r="42" spans="1:18" x14ac:dyDescent="0.25">
      <c r="A42" s="3">
        <v>1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5">
        <f t="shared" si="5"/>
        <v>0</v>
      </c>
      <c r="M42" s="16">
        <f t="shared" si="6"/>
        <v>0</v>
      </c>
      <c r="N42" s="17"/>
      <c r="O42" s="5">
        <f t="shared" si="7"/>
        <v>0</v>
      </c>
      <c r="P42" s="17"/>
      <c r="Q42" s="9" t="str">
        <f t="shared" si="8"/>
        <v>No</v>
      </c>
      <c r="R42" s="6">
        <f t="shared" si="9"/>
        <v>0</v>
      </c>
    </row>
    <row r="43" spans="1:18" x14ac:dyDescent="0.25">
      <c r="A43" s="3">
        <v>1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5">
        <f t="shared" si="5"/>
        <v>0</v>
      </c>
      <c r="M43" s="16">
        <f t="shared" si="6"/>
        <v>0</v>
      </c>
      <c r="N43" s="17"/>
      <c r="O43" s="5">
        <f t="shared" si="7"/>
        <v>0</v>
      </c>
      <c r="P43" s="17"/>
      <c r="Q43" s="9" t="str">
        <f t="shared" si="8"/>
        <v>No</v>
      </c>
      <c r="R43" s="6">
        <f t="shared" si="9"/>
        <v>0</v>
      </c>
    </row>
    <row r="44" spans="1:18" x14ac:dyDescent="0.25">
      <c r="A44" s="3">
        <v>1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5">
        <f t="shared" si="5"/>
        <v>0</v>
      </c>
      <c r="M44" s="16">
        <f t="shared" si="6"/>
        <v>0</v>
      </c>
      <c r="N44" s="17"/>
      <c r="O44" s="5">
        <f t="shared" si="7"/>
        <v>0</v>
      </c>
      <c r="P44" s="17"/>
      <c r="Q44" s="9" t="str">
        <f t="shared" si="8"/>
        <v>No</v>
      </c>
      <c r="R44" s="6">
        <f t="shared" si="9"/>
        <v>0</v>
      </c>
    </row>
    <row r="45" spans="1:18" x14ac:dyDescent="0.25">
      <c r="A45" s="3">
        <v>1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5">
        <f t="shared" si="5"/>
        <v>0</v>
      </c>
      <c r="M45" s="16">
        <f t="shared" si="6"/>
        <v>0</v>
      </c>
      <c r="N45" s="17"/>
      <c r="O45" s="5">
        <f t="shared" si="7"/>
        <v>0</v>
      </c>
      <c r="P45" s="17"/>
      <c r="Q45" s="9" t="str">
        <f t="shared" si="8"/>
        <v>No</v>
      </c>
      <c r="R45" s="6">
        <f t="shared" si="9"/>
        <v>0</v>
      </c>
    </row>
    <row r="46" spans="1:18" x14ac:dyDescent="0.25">
      <c r="A46" s="3">
        <v>1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5">
        <f t="shared" si="5"/>
        <v>0</v>
      </c>
      <c r="M46" s="16">
        <f t="shared" si="6"/>
        <v>0</v>
      </c>
      <c r="N46" s="17"/>
      <c r="O46" s="5">
        <f t="shared" si="7"/>
        <v>0</v>
      </c>
      <c r="P46" s="17"/>
      <c r="Q46" s="9" t="str">
        <f t="shared" si="8"/>
        <v>No</v>
      </c>
      <c r="R46" s="6">
        <f t="shared" si="9"/>
        <v>0</v>
      </c>
    </row>
    <row r="47" spans="1:18" x14ac:dyDescent="0.25">
      <c r="A47" s="3">
        <v>1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5">
        <f t="shared" si="5"/>
        <v>0</v>
      </c>
      <c r="M47" s="16">
        <f t="shared" si="6"/>
        <v>0</v>
      </c>
      <c r="N47" s="17"/>
      <c r="O47" s="5">
        <f t="shared" si="7"/>
        <v>0</v>
      </c>
      <c r="P47" s="17"/>
      <c r="Q47" s="9" t="str">
        <f t="shared" si="8"/>
        <v>No</v>
      </c>
      <c r="R47" s="6">
        <f t="shared" si="9"/>
        <v>0</v>
      </c>
    </row>
    <row r="48" spans="1:18" x14ac:dyDescent="0.25">
      <c r="A48" s="3">
        <v>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5">
        <f t="shared" si="5"/>
        <v>0</v>
      </c>
      <c r="M48" s="16">
        <f t="shared" si="6"/>
        <v>0</v>
      </c>
      <c r="N48" s="17"/>
      <c r="O48" s="5">
        <f t="shared" si="7"/>
        <v>0</v>
      </c>
      <c r="P48" s="17"/>
      <c r="Q48" s="9" t="str">
        <f t="shared" si="8"/>
        <v>No</v>
      </c>
      <c r="R48" s="6">
        <f t="shared" si="9"/>
        <v>0</v>
      </c>
    </row>
    <row r="49" spans="1:18" x14ac:dyDescent="0.25">
      <c r="A49" s="3">
        <v>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5">
        <f t="shared" si="5"/>
        <v>0</v>
      </c>
      <c r="M49" s="16">
        <f t="shared" si="6"/>
        <v>0</v>
      </c>
      <c r="N49" s="17"/>
      <c r="O49" s="5">
        <f t="shared" si="7"/>
        <v>0</v>
      </c>
      <c r="P49" s="17"/>
      <c r="Q49" s="9" t="str">
        <f t="shared" si="8"/>
        <v>No</v>
      </c>
      <c r="R49" s="6">
        <f t="shared" si="9"/>
        <v>0</v>
      </c>
    </row>
    <row r="50" spans="1:18" x14ac:dyDescent="0.25">
      <c r="A50" s="3">
        <v>1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5">
        <f t="shared" si="5"/>
        <v>0</v>
      </c>
      <c r="M50" s="16">
        <f t="shared" si="6"/>
        <v>0</v>
      </c>
      <c r="N50" s="17"/>
      <c r="O50" s="5">
        <f t="shared" si="7"/>
        <v>0</v>
      </c>
      <c r="P50" s="17"/>
      <c r="Q50" s="9" t="str">
        <f t="shared" si="8"/>
        <v>No</v>
      </c>
      <c r="R50" s="6">
        <f t="shared" si="9"/>
        <v>0</v>
      </c>
    </row>
    <row r="51" spans="1:18" x14ac:dyDescent="0.25">
      <c r="A51" s="3">
        <v>1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5">
        <f t="shared" si="5"/>
        <v>0</v>
      </c>
      <c r="M51" s="16">
        <f t="shared" si="6"/>
        <v>0</v>
      </c>
      <c r="N51" s="17"/>
      <c r="O51" s="5">
        <f t="shared" si="7"/>
        <v>0</v>
      </c>
      <c r="P51" s="17"/>
      <c r="Q51" s="9" t="str">
        <f t="shared" si="8"/>
        <v>No</v>
      </c>
      <c r="R51" s="6">
        <f t="shared" si="9"/>
        <v>0</v>
      </c>
    </row>
    <row r="52" spans="1:18" x14ac:dyDescent="0.25">
      <c r="A52" s="3">
        <v>1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5">
        <f t="shared" si="5"/>
        <v>0</v>
      </c>
      <c r="M52" s="16">
        <f t="shared" si="6"/>
        <v>0</v>
      </c>
      <c r="N52" s="17"/>
      <c r="O52" s="5">
        <f t="shared" si="7"/>
        <v>0</v>
      </c>
      <c r="P52" s="17"/>
      <c r="Q52" s="9" t="str">
        <f t="shared" si="8"/>
        <v>No</v>
      </c>
      <c r="R52" s="6">
        <f t="shared" si="9"/>
        <v>0</v>
      </c>
    </row>
    <row r="53" spans="1:18" x14ac:dyDescent="0.25">
      <c r="A53" s="3">
        <v>1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5">
        <f t="shared" si="5"/>
        <v>0</v>
      </c>
      <c r="M53" s="16">
        <f t="shared" si="6"/>
        <v>0</v>
      </c>
      <c r="N53" s="17"/>
      <c r="O53" s="5">
        <f t="shared" si="7"/>
        <v>0</v>
      </c>
      <c r="P53" s="17"/>
      <c r="Q53" s="9" t="str">
        <f t="shared" si="8"/>
        <v>No</v>
      </c>
      <c r="R53" s="6">
        <f t="shared" si="9"/>
        <v>0</v>
      </c>
    </row>
    <row r="54" spans="1:18" x14ac:dyDescent="0.25">
      <c r="A54" s="3">
        <v>1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5">
        <f t="shared" si="5"/>
        <v>0</v>
      </c>
      <c r="M54" s="16">
        <f t="shared" si="6"/>
        <v>0</v>
      </c>
      <c r="N54" s="17"/>
      <c r="O54" s="5">
        <f t="shared" si="7"/>
        <v>0</v>
      </c>
      <c r="P54" s="17"/>
      <c r="Q54" s="9" t="str">
        <f t="shared" si="8"/>
        <v>No</v>
      </c>
      <c r="R54" s="6">
        <f t="shared" si="9"/>
        <v>0</v>
      </c>
    </row>
    <row r="55" spans="1:18" x14ac:dyDescent="0.25">
      <c r="A55" s="3">
        <v>1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5">
        <f t="shared" si="5"/>
        <v>0</v>
      </c>
      <c r="M55" s="16">
        <f t="shared" si="6"/>
        <v>0</v>
      </c>
      <c r="N55" s="17"/>
      <c r="O55" s="5">
        <f t="shared" si="7"/>
        <v>0</v>
      </c>
      <c r="P55" s="17"/>
      <c r="Q55" s="9" t="str">
        <f t="shared" si="8"/>
        <v>No</v>
      </c>
      <c r="R55" s="6">
        <f t="shared" si="9"/>
        <v>0</v>
      </c>
    </row>
    <row r="56" spans="1:18" x14ac:dyDescent="0.25">
      <c r="A56" s="3">
        <v>1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5">
        <f t="shared" si="5"/>
        <v>0</v>
      </c>
      <c r="M56" s="16">
        <f t="shared" si="6"/>
        <v>0</v>
      </c>
      <c r="N56" s="17"/>
      <c r="O56" s="5">
        <f t="shared" si="7"/>
        <v>0</v>
      </c>
      <c r="P56" s="17"/>
      <c r="Q56" s="9" t="str">
        <f t="shared" si="8"/>
        <v>No</v>
      </c>
      <c r="R56" s="6">
        <f t="shared" si="9"/>
        <v>0</v>
      </c>
    </row>
    <row r="57" spans="1:18" x14ac:dyDescent="0.25">
      <c r="A57" s="3">
        <v>1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5">
        <f t="shared" si="5"/>
        <v>0</v>
      </c>
      <c r="M57" s="16">
        <f t="shared" si="6"/>
        <v>0</v>
      </c>
      <c r="N57" s="17"/>
      <c r="O57" s="5">
        <f t="shared" si="7"/>
        <v>0</v>
      </c>
      <c r="P57" s="17"/>
      <c r="Q57" s="9" t="str">
        <f t="shared" si="8"/>
        <v>No</v>
      </c>
      <c r="R57" s="6">
        <f t="shared" si="9"/>
        <v>0</v>
      </c>
    </row>
    <row r="58" spans="1:18" x14ac:dyDescent="0.25">
      <c r="A58" s="3">
        <v>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5">
        <f t="shared" si="5"/>
        <v>0</v>
      </c>
      <c r="M58" s="16">
        <f t="shared" si="6"/>
        <v>0</v>
      </c>
      <c r="N58" s="17"/>
      <c r="O58" s="5">
        <f t="shared" si="7"/>
        <v>0</v>
      </c>
      <c r="P58" s="17"/>
      <c r="Q58" s="9" t="str">
        <f t="shared" si="8"/>
        <v>No</v>
      </c>
      <c r="R58" s="6">
        <f t="shared" si="9"/>
        <v>0</v>
      </c>
    </row>
    <row r="59" spans="1:18" x14ac:dyDescent="0.25">
      <c r="A59" s="3">
        <v>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5">
        <f t="shared" si="5"/>
        <v>0</v>
      </c>
      <c r="M59" s="16">
        <f t="shared" si="6"/>
        <v>0</v>
      </c>
      <c r="N59" s="17"/>
      <c r="O59" s="5">
        <f t="shared" si="7"/>
        <v>0</v>
      </c>
      <c r="P59" s="17"/>
      <c r="Q59" s="9" t="str">
        <f t="shared" si="8"/>
        <v>No</v>
      </c>
      <c r="R59" s="6">
        <f t="shared" si="9"/>
        <v>0</v>
      </c>
    </row>
    <row r="60" spans="1:18" x14ac:dyDescent="0.25">
      <c r="A60" s="3">
        <v>1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5">
        <f t="shared" si="5"/>
        <v>0</v>
      </c>
      <c r="M60" s="16">
        <f t="shared" si="6"/>
        <v>0</v>
      </c>
      <c r="N60" s="17"/>
      <c r="O60" s="5">
        <f t="shared" si="7"/>
        <v>0</v>
      </c>
      <c r="P60" s="17"/>
      <c r="Q60" s="9" t="str">
        <f t="shared" si="8"/>
        <v>No</v>
      </c>
      <c r="R60" s="6">
        <f t="shared" si="9"/>
        <v>0</v>
      </c>
    </row>
    <row r="61" spans="1:18" x14ac:dyDescent="0.25">
      <c r="A61" s="3">
        <v>1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5">
        <f t="shared" si="5"/>
        <v>0</v>
      </c>
      <c r="M61" s="16">
        <f t="shared" si="6"/>
        <v>0</v>
      </c>
      <c r="N61" s="17"/>
      <c r="O61" s="5">
        <f t="shared" si="7"/>
        <v>0</v>
      </c>
      <c r="P61" s="17"/>
      <c r="Q61" s="9" t="str">
        <f t="shared" si="8"/>
        <v>No</v>
      </c>
      <c r="R61" s="6">
        <f t="shared" si="9"/>
        <v>0</v>
      </c>
    </row>
    <row r="62" spans="1:18" x14ac:dyDescent="0.25">
      <c r="A62" s="3">
        <v>1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5">
        <f t="shared" si="5"/>
        <v>0</v>
      </c>
      <c r="M62" s="16">
        <f t="shared" si="6"/>
        <v>0</v>
      </c>
      <c r="N62" s="17"/>
      <c r="O62" s="5">
        <f t="shared" si="7"/>
        <v>0</v>
      </c>
      <c r="P62" s="17"/>
      <c r="Q62" s="9" t="str">
        <f t="shared" si="8"/>
        <v>No</v>
      </c>
      <c r="R62" s="6">
        <f t="shared" si="9"/>
        <v>0</v>
      </c>
    </row>
    <row r="63" spans="1:18" x14ac:dyDescent="0.25">
      <c r="A63" s="3">
        <v>1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5">
        <f t="shared" si="5"/>
        <v>0</v>
      </c>
      <c r="M63" s="16">
        <f t="shared" si="6"/>
        <v>0</v>
      </c>
      <c r="N63" s="17"/>
      <c r="O63" s="5">
        <f t="shared" si="7"/>
        <v>0</v>
      </c>
      <c r="P63" s="17"/>
      <c r="Q63" s="9" t="str">
        <f t="shared" si="8"/>
        <v>No</v>
      </c>
      <c r="R63" s="6">
        <f t="shared" si="9"/>
        <v>0</v>
      </c>
    </row>
    <row r="64" spans="1:18" x14ac:dyDescent="0.25">
      <c r="A64" s="3">
        <v>1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5">
        <f t="shared" si="5"/>
        <v>0</v>
      </c>
      <c r="M64" s="16">
        <f t="shared" si="6"/>
        <v>0</v>
      </c>
      <c r="N64" s="17"/>
      <c r="O64" s="5">
        <f t="shared" si="7"/>
        <v>0</v>
      </c>
      <c r="P64" s="17"/>
      <c r="Q64" s="9" t="str">
        <f t="shared" si="8"/>
        <v>No</v>
      </c>
      <c r="R64" s="6">
        <f t="shared" si="9"/>
        <v>0</v>
      </c>
    </row>
    <row r="65" spans="1:18" x14ac:dyDescent="0.25">
      <c r="A65" s="3">
        <v>1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5">
        <f t="shared" si="5"/>
        <v>0</v>
      </c>
      <c r="M65" s="16">
        <f t="shared" si="6"/>
        <v>0</v>
      </c>
      <c r="N65" s="17"/>
      <c r="O65" s="5">
        <f t="shared" si="7"/>
        <v>0</v>
      </c>
      <c r="P65" s="17"/>
      <c r="Q65" s="9" t="str">
        <f t="shared" si="8"/>
        <v>No</v>
      </c>
      <c r="R65" s="6">
        <f t="shared" si="9"/>
        <v>0</v>
      </c>
    </row>
    <row r="66" spans="1:18" x14ac:dyDescent="0.25">
      <c r="A66" s="3">
        <v>1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5">
        <f t="shared" ref="L66:L97" si="10">SUM(H66*1)+(I66*2)+(J66*3)+(K66*4)</f>
        <v>0</v>
      </c>
      <c r="M66" s="16">
        <f t="shared" ref="M66:M97" si="11">IF(L66&lt;10,0,IF(L66&lt;20,1,IF(L66&lt;30,2,IF(L66&lt;40,3,IF(L66&gt;=40,4)))))</f>
        <v>0</v>
      </c>
      <c r="N66" s="17"/>
      <c r="O66" s="5">
        <f t="shared" ref="O66:O97" si="12">SUM(H66*1)+(I66*2)+(J66*3)+(K66*4)+IF(N66="Y",2,IF(N66="N",0))</f>
        <v>0</v>
      </c>
      <c r="P66" s="17"/>
      <c r="Q66" s="9" t="str">
        <f t="shared" ref="Q66:Q97" si="13">IF(AND(R66&gt;25,P66="Y"),"Yes","No")</f>
        <v>No</v>
      </c>
      <c r="R66" s="6">
        <f t="shared" ref="R66:R98" si="14">SUM(E66*3)+(F66*2)+(G66*1)+(O66)</f>
        <v>0</v>
      </c>
    </row>
    <row r="67" spans="1:18" x14ac:dyDescent="0.25">
      <c r="A67" s="3">
        <v>1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5">
        <f t="shared" si="10"/>
        <v>0</v>
      </c>
      <c r="M67" s="16">
        <f t="shared" si="11"/>
        <v>0</v>
      </c>
      <c r="N67" s="17"/>
      <c r="O67" s="5">
        <f t="shared" si="12"/>
        <v>0</v>
      </c>
      <c r="P67" s="17"/>
      <c r="Q67" s="9" t="str">
        <f t="shared" si="13"/>
        <v>No</v>
      </c>
      <c r="R67" s="6">
        <f t="shared" si="14"/>
        <v>0</v>
      </c>
    </row>
    <row r="68" spans="1:18" x14ac:dyDescent="0.25">
      <c r="A68" s="3">
        <v>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5">
        <f t="shared" si="10"/>
        <v>0</v>
      </c>
      <c r="M68" s="16">
        <f t="shared" si="11"/>
        <v>0</v>
      </c>
      <c r="N68" s="17"/>
      <c r="O68" s="5">
        <f t="shared" si="12"/>
        <v>0</v>
      </c>
      <c r="P68" s="17"/>
      <c r="Q68" s="9" t="str">
        <f t="shared" si="13"/>
        <v>No</v>
      </c>
      <c r="R68" s="6">
        <f t="shared" si="14"/>
        <v>0</v>
      </c>
    </row>
    <row r="69" spans="1:18" x14ac:dyDescent="0.25">
      <c r="A69" s="3">
        <v>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5">
        <f t="shared" si="10"/>
        <v>0</v>
      </c>
      <c r="M69" s="16">
        <f t="shared" si="11"/>
        <v>0</v>
      </c>
      <c r="N69" s="17"/>
      <c r="O69" s="5">
        <f t="shared" si="12"/>
        <v>0</v>
      </c>
      <c r="P69" s="17"/>
      <c r="Q69" s="9" t="str">
        <f t="shared" si="13"/>
        <v>No</v>
      </c>
      <c r="R69" s="6">
        <f t="shared" si="14"/>
        <v>0</v>
      </c>
    </row>
    <row r="70" spans="1:18" x14ac:dyDescent="0.25">
      <c r="A70" s="3">
        <v>1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5">
        <f t="shared" si="10"/>
        <v>0</v>
      </c>
      <c r="M70" s="16">
        <f t="shared" si="11"/>
        <v>0</v>
      </c>
      <c r="N70" s="17"/>
      <c r="O70" s="5">
        <f t="shared" si="12"/>
        <v>0</v>
      </c>
      <c r="P70" s="17"/>
      <c r="Q70" s="9" t="str">
        <f t="shared" si="13"/>
        <v>No</v>
      </c>
      <c r="R70" s="6">
        <f t="shared" si="14"/>
        <v>0</v>
      </c>
    </row>
    <row r="71" spans="1:18" x14ac:dyDescent="0.25">
      <c r="A71" s="3">
        <v>1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5">
        <f t="shared" si="10"/>
        <v>0</v>
      </c>
      <c r="M71" s="16">
        <f t="shared" si="11"/>
        <v>0</v>
      </c>
      <c r="N71" s="17"/>
      <c r="O71" s="5">
        <f t="shared" si="12"/>
        <v>0</v>
      </c>
      <c r="P71" s="17"/>
      <c r="Q71" s="9" t="str">
        <f t="shared" si="13"/>
        <v>No</v>
      </c>
      <c r="R71" s="6">
        <f t="shared" si="14"/>
        <v>0</v>
      </c>
    </row>
    <row r="72" spans="1:18" x14ac:dyDescent="0.25">
      <c r="A72" s="3">
        <v>1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5">
        <f t="shared" si="10"/>
        <v>0</v>
      </c>
      <c r="M72" s="16">
        <f t="shared" si="11"/>
        <v>0</v>
      </c>
      <c r="N72" s="17"/>
      <c r="O72" s="5">
        <f t="shared" si="12"/>
        <v>0</v>
      </c>
      <c r="P72" s="17"/>
      <c r="Q72" s="9" t="str">
        <f t="shared" si="13"/>
        <v>No</v>
      </c>
      <c r="R72" s="6">
        <f t="shared" si="14"/>
        <v>0</v>
      </c>
    </row>
    <row r="73" spans="1:18" x14ac:dyDescent="0.25">
      <c r="A73" s="3">
        <v>1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5">
        <f t="shared" si="10"/>
        <v>0</v>
      </c>
      <c r="M73" s="16">
        <f t="shared" si="11"/>
        <v>0</v>
      </c>
      <c r="N73" s="17"/>
      <c r="O73" s="5">
        <f t="shared" si="12"/>
        <v>0</v>
      </c>
      <c r="P73" s="17"/>
      <c r="Q73" s="9" t="str">
        <f t="shared" si="13"/>
        <v>No</v>
      </c>
      <c r="R73" s="6">
        <f t="shared" si="14"/>
        <v>0</v>
      </c>
    </row>
    <row r="74" spans="1:18" x14ac:dyDescent="0.25">
      <c r="A74" s="3">
        <v>1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5">
        <f t="shared" si="10"/>
        <v>0</v>
      </c>
      <c r="M74" s="16">
        <f t="shared" si="11"/>
        <v>0</v>
      </c>
      <c r="N74" s="17"/>
      <c r="O74" s="5">
        <f t="shared" si="12"/>
        <v>0</v>
      </c>
      <c r="P74" s="17"/>
      <c r="Q74" s="9" t="str">
        <f t="shared" si="13"/>
        <v>No</v>
      </c>
      <c r="R74" s="6">
        <f t="shared" si="14"/>
        <v>0</v>
      </c>
    </row>
    <row r="75" spans="1:18" x14ac:dyDescent="0.25">
      <c r="A75" s="3">
        <v>1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5">
        <f t="shared" si="10"/>
        <v>0</v>
      </c>
      <c r="M75" s="16">
        <f t="shared" si="11"/>
        <v>0</v>
      </c>
      <c r="N75" s="17"/>
      <c r="O75" s="5">
        <f t="shared" si="12"/>
        <v>0</v>
      </c>
      <c r="P75" s="17"/>
      <c r="Q75" s="9" t="str">
        <f t="shared" si="13"/>
        <v>No</v>
      </c>
      <c r="R75" s="6">
        <f t="shared" si="14"/>
        <v>0</v>
      </c>
    </row>
    <row r="76" spans="1:18" x14ac:dyDescent="0.25">
      <c r="A76" s="3">
        <v>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5">
        <f t="shared" si="10"/>
        <v>0</v>
      </c>
      <c r="M76" s="16">
        <f t="shared" si="11"/>
        <v>0</v>
      </c>
      <c r="N76" s="17"/>
      <c r="O76" s="5">
        <f t="shared" si="12"/>
        <v>0</v>
      </c>
      <c r="P76" s="17"/>
      <c r="Q76" s="9" t="str">
        <f t="shared" si="13"/>
        <v>No</v>
      </c>
      <c r="R76" s="6">
        <f t="shared" si="14"/>
        <v>0</v>
      </c>
    </row>
    <row r="77" spans="1:18" x14ac:dyDescent="0.25">
      <c r="A77" s="3">
        <v>1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5">
        <f t="shared" si="10"/>
        <v>0</v>
      </c>
      <c r="M77" s="16">
        <f t="shared" si="11"/>
        <v>0</v>
      </c>
      <c r="N77" s="17"/>
      <c r="O77" s="5">
        <f t="shared" si="12"/>
        <v>0</v>
      </c>
      <c r="P77" s="17"/>
      <c r="Q77" s="9" t="str">
        <f t="shared" si="13"/>
        <v>No</v>
      </c>
      <c r="R77" s="6">
        <f t="shared" si="14"/>
        <v>0</v>
      </c>
    </row>
    <row r="78" spans="1:18" x14ac:dyDescent="0.25">
      <c r="A78" s="3">
        <v>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5">
        <f t="shared" si="10"/>
        <v>0</v>
      </c>
      <c r="M78" s="16">
        <f t="shared" si="11"/>
        <v>0</v>
      </c>
      <c r="N78" s="17"/>
      <c r="O78" s="5">
        <f t="shared" si="12"/>
        <v>0</v>
      </c>
      <c r="P78" s="17"/>
      <c r="Q78" s="9" t="str">
        <f t="shared" si="13"/>
        <v>No</v>
      </c>
      <c r="R78" s="6">
        <f t="shared" si="14"/>
        <v>0</v>
      </c>
    </row>
    <row r="79" spans="1:18" x14ac:dyDescent="0.25">
      <c r="A79" s="3">
        <v>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5">
        <f t="shared" si="10"/>
        <v>0</v>
      </c>
      <c r="M79" s="16">
        <f t="shared" si="11"/>
        <v>0</v>
      </c>
      <c r="N79" s="17"/>
      <c r="O79" s="5">
        <f t="shared" si="12"/>
        <v>0</v>
      </c>
      <c r="P79" s="17"/>
      <c r="Q79" s="9" t="str">
        <f t="shared" si="13"/>
        <v>No</v>
      </c>
      <c r="R79" s="6">
        <f t="shared" si="14"/>
        <v>0</v>
      </c>
    </row>
    <row r="80" spans="1:18" x14ac:dyDescent="0.25">
      <c r="A80" s="3">
        <v>1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5">
        <f t="shared" si="10"/>
        <v>0</v>
      </c>
      <c r="M80" s="16">
        <f t="shared" si="11"/>
        <v>0</v>
      </c>
      <c r="N80" s="17"/>
      <c r="O80" s="5">
        <f t="shared" si="12"/>
        <v>0</v>
      </c>
      <c r="P80" s="17"/>
      <c r="Q80" s="9" t="str">
        <f t="shared" si="13"/>
        <v>No</v>
      </c>
      <c r="R80" s="6">
        <f t="shared" si="14"/>
        <v>0</v>
      </c>
    </row>
    <row r="81" spans="1:18" x14ac:dyDescent="0.25">
      <c r="A81" s="3">
        <v>1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5">
        <f t="shared" si="10"/>
        <v>0</v>
      </c>
      <c r="M81" s="16">
        <f t="shared" si="11"/>
        <v>0</v>
      </c>
      <c r="N81" s="17"/>
      <c r="O81" s="5">
        <f t="shared" si="12"/>
        <v>0</v>
      </c>
      <c r="P81" s="17"/>
      <c r="Q81" s="9" t="str">
        <f t="shared" si="13"/>
        <v>No</v>
      </c>
      <c r="R81" s="6">
        <f t="shared" si="14"/>
        <v>0</v>
      </c>
    </row>
    <row r="82" spans="1:18" x14ac:dyDescent="0.25">
      <c r="A82" s="3">
        <v>1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5">
        <f t="shared" si="10"/>
        <v>0</v>
      </c>
      <c r="M82" s="16">
        <f t="shared" si="11"/>
        <v>0</v>
      </c>
      <c r="N82" s="17"/>
      <c r="O82" s="5">
        <f t="shared" si="12"/>
        <v>0</v>
      </c>
      <c r="P82" s="17"/>
      <c r="Q82" s="9" t="str">
        <f t="shared" si="13"/>
        <v>No</v>
      </c>
      <c r="R82" s="6">
        <f t="shared" si="14"/>
        <v>0</v>
      </c>
    </row>
    <row r="83" spans="1:18" x14ac:dyDescent="0.25">
      <c r="A83" s="3">
        <v>1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5">
        <f t="shared" si="10"/>
        <v>0</v>
      </c>
      <c r="M83" s="16">
        <f t="shared" si="11"/>
        <v>0</v>
      </c>
      <c r="N83" s="17"/>
      <c r="O83" s="5">
        <f t="shared" si="12"/>
        <v>0</v>
      </c>
      <c r="P83" s="17"/>
      <c r="Q83" s="9" t="str">
        <f t="shared" si="13"/>
        <v>No</v>
      </c>
      <c r="R83" s="6">
        <f t="shared" si="14"/>
        <v>0</v>
      </c>
    </row>
    <row r="84" spans="1:18" x14ac:dyDescent="0.25">
      <c r="A84" s="3">
        <v>1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5">
        <f t="shared" si="10"/>
        <v>0</v>
      </c>
      <c r="M84" s="16">
        <f t="shared" si="11"/>
        <v>0</v>
      </c>
      <c r="N84" s="17"/>
      <c r="O84" s="5">
        <f t="shared" si="12"/>
        <v>0</v>
      </c>
      <c r="P84" s="17"/>
      <c r="Q84" s="9" t="str">
        <f t="shared" si="13"/>
        <v>No</v>
      </c>
      <c r="R84" s="6">
        <f t="shared" si="14"/>
        <v>0</v>
      </c>
    </row>
    <row r="85" spans="1:18" x14ac:dyDescent="0.25">
      <c r="A85" s="3">
        <v>1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5">
        <f t="shared" si="10"/>
        <v>0</v>
      </c>
      <c r="M85" s="16">
        <f t="shared" si="11"/>
        <v>0</v>
      </c>
      <c r="N85" s="17"/>
      <c r="O85" s="5">
        <f t="shared" si="12"/>
        <v>0</v>
      </c>
      <c r="P85" s="17"/>
      <c r="Q85" s="9" t="str">
        <f t="shared" si="13"/>
        <v>No</v>
      </c>
      <c r="R85" s="6">
        <f t="shared" si="14"/>
        <v>0</v>
      </c>
    </row>
    <row r="86" spans="1:18" x14ac:dyDescent="0.25">
      <c r="A86" s="3">
        <v>1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5">
        <f t="shared" si="10"/>
        <v>0</v>
      </c>
      <c r="M86" s="16">
        <f t="shared" si="11"/>
        <v>0</v>
      </c>
      <c r="N86" s="17"/>
      <c r="O86" s="5">
        <f t="shared" si="12"/>
        <v>0</v>
      </c>
      <c r="P86" s="17"/>
      <c r="Q86" s="9" t="str">
        <f t="shared" si="13"/>
        <v>No</v>
      </c>
      <c r="R86" s="6">
        <f t="shared" si="14"/>
        <v>0</v>
      </c>
    </row>
    <row r="87" spans="1:18" x14ac:dyDescent="0.25">
      <c r="A87" s="3">
        <v>1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5">
        <f t="shared" si="10"/>
        <v>0</v>
      </c>
      <c r="M87" s="16">
        <f t="shared" si="11"/>
        <v>0</v>
      </c>
      <c r="N87" s="17"/>
      <c r="O87" s="5">
        <f t="shared" si="12"/>
        <v>0</v>
      </c>
      <c r="P87" s="17"/>
      <c r="Q87" s="9" t="str">
        <f t="shared" si="13"/>
        <v>No</v>
      </c>
      <c r="R87" s="6">
        <f t="shared" si="14"/>
        <v>0</v>
      </c>
    </row>
    <row r="88" spans="1:18" x14ac:dyDescent="0.25">
      <c r="A88" s="3">
        <v>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5">
        <f t="shared" si="10"/>
        <v>0</v>
      </c>
      <c r="M88" s="16">
        <f t="shared" si="11"/>
        <v>0</v>
      </c>
      <c r="N88" s="17"/>
      <c r="O88" s="5">
        <f t="shared" si="12"/>
        <v>0</v>
      </c>
      <c r="P88" s="17"/>
      <c r="Q88" s="9" t="str">
        <f t="shared" si="13"/>
        <v>No</v>
      </c>
      <c r="R88" s="6">
        <f t="shared" si="14"/>
        <v>0</v>
      </c>
    </row>
    <row r="89" spans="1:18" x14ac:dyDescent="0.25">
      <c r="A89" s="3">
        <v>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5">
        <f t="shared" si="10"/>
        <v>0</v>
      </c>
      <c r="M89" s="16">
        <f t="shared" si="11"/>
        <v>0</v>
      </c>
      <c r="N89" s="17"/>
      <c r="O89" s="5">
        <f t="shared" si="12"/>
        <v>0</v>
      </c>
      <c r="P89" s="17"/>
      <c r="Q89" s="9" t="str">
        <f t="shared" si="13"/>
        <v>No</v>
      </c>
      <c r="R89" s="6">
        <f t="shared" si="14"/>
        <v>0</v>
      </c>
    </row>
    <row r="90" spans="1:18" x14ac:dyDescent="0.25">
      <c r="A90" s="3">
        <v>1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5">
        <f t="shared" si="10"/>
        <v>0</v>
      </c>
      <c r="M90" s="16">
        <f t="shared" si="11"/>
        <v>0</v>
      </c>
      <c r="N90" s="17"/>
      <c r="O90" s="5">
        <f t="shared" si="12"/>
        <v>0</v>
      </c>
      <c r="P90" s="17"/>
      <c r="Q90" s="9" t="str">
        <f t="shared" si="13"/>
        <v>No</v>
      </c>
      <c r="R90" s="6">
        <f t="shared" si="14"/>
        <v>0</v>
      </c>
    </row>
    <row r="91" spans="1:18" x14ac:dyDescent="0.25">
      <c r="A91" s="3">
        <v>1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5">
        <f t="shared" si="10"/>
        <v>0</v>
      </c>
      <c r="M91" s="16">
        <f t="shared" si="11"/>
        <v>0</v>
      </c>
      <c r="N91" s="17"/>
      <c r="O91" s="5">
        <f t="shared" si="12"/>
        <v>0</v>
      </c>
      <c r="P91" s="17"/>
      <c r="Q91" s="9" t="str">
        <f t="shared" si="13"/>
        <v>No</v>
      </c>
      <c r="R91" s="6">
        <f t="shared" si="14"/>
        <v>0</v>
      </c>
    </row>
    <row r="92" spans="1:18" x14ac:dyDescent="0.25">
      <c r="A92" s="3">
        <v>1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5">
        <f t="shared" si="10"/>
        <v>0</v>
      </c>
      <c r="M92" s="16">
        <f t="shared" si="11"/>
        <v>0</v>
      </c>
      <c r="N92" s="17"/>
      <c r="O92" s="5">
        <f t="shared" si="12"/>
        <v>0</v>
      </c>
      <c r="P92" s="17"/>
      <c r="Q92" s="9" t="str">
        <f t="shared" si="13"/>
        <v>No</v>
      </c>
      <c r="R92" s="6">
        <f t="shared" si="14"/>
        <v>0</v>
      </c>
    </row>
    <row r="93" spans="1:18" x14ac:dyDescent="0.25">
      <c r="A93" s="3">
        <v>1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5">
        <f t="shared" si="10"/>
        <v>0</v>
      </c>
      <c r="M93" s="16">
        <f t="shared" si="11"/>
        <v>0</v>
      </c>
      <c r="N93" s="17"/>
      <c r="O93" s="5">
        <f t="shared" si="12"/>
        <v>0</v>
      </c>
      <c r="P93" s="17"/>
      <c r="Q93" s="9" t="str">
        <f t="shared" si="13"/>
        <v>No</v>
      </c>
      <c r="R93" s="6">
        <f t="shared" si="14"/>
        <v>0</v>
      </c>
    </row>
    <row r="94" spans="1:18" x14ac:dyDescent="0.25">
      <c r="A94" s="3">
        <v>1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5">
        <f t="shared" si="10"/>
        <v>0</v>
      </c>
      <c r="M94" s="16">
        <f t="shared" si="11"/>
        <v>0</v>
      </c>
      <c r="N94" s="17"/>
      <c r="O94" s="5">
        <f t="shared" si="12"/>
        <v>0</v>
      </c>
      <c r="P94" s="17"/>
      <c r="Q94" s="9" t="str">
        <f t="shared" si="13"/>
        <v>No</v>
      </c>
      <c r="R94" s="6">
        <f t="shared" si="14"/>
        <v>0</v>
      </c>
    </row>
    <row r="95" spans="1:18" x14ac:dyDescent="0.25">
      <c r="A95" s="3">
        <v>1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5">
        <f t="shared" si="10"/>
        <v>0</v>
      </c>
      <c r="M95" s="16">
        <f t="shared" si="11"/>
        <v>0</v>
      </c>
      <c r="N95" s="17"/>
      <c r="O95" s="5">
        <f t="shared" si="12"/>
        <v>0</v>
      </c>
      <c r="P95" s="17"/>
      <c r="Q95" s="9" t="str">
        <f t="shared" si="13"/>
        <v>No</v>
      </c>
      <c r="R95" s="6">
        <f t="shared" si="14"/>
        <v>0</v>
      </c>
    </row>
    <row r="96" spans="1:18" x14ac:dyDescent="0.25">
      <c r="A96" s="3">
        <v>1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5">
        <f t="shared" si="10"/>
        <v>0</v>
      </c>
      <c r="M96" s="16">
        <f t="shared" si="11"/>
        <v>0</v>
      </c>
      <c r="N96" s="17"/>
      <c r="O96" s="5">
        <f t="shared" si="12"/>
        <v>0</v>
      </c>
      <c r="P96" s="17"/>
      <c r="Q96" s="9" t="str">
        <f t="shared" si="13"/>
        <v>No</v>
      </c>
      <c r="R96" s="6">
        <f t="shared" si="14"/>
        <v>0</v>
      </c>
    </row>
    <row r="97" spans="1:18" x14ac:dyDescent="0.25">
      <c r="A97" s="3">
        <v>1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5">
        <f t="shared" si="10"/>
        <v>0</v>
      </c>
      <c r="M97" s="16">
        <f t="shared" si="11"/>
        <v>0</v>
      </c>
      <c r="N97" s="17"/>
      <c r="O97" s="5">
        <f t="shared" si="12"/>
        <v>0</v>
      </c>
      <c r="P97" s="17"/>
      <c r="Q97" s="9" t="str">
        <f t="shared" si="13"/>
        <v>No</v>
      </c>
      <c r="R97" s="6">
        <f t="shared" si="14"/>
        <v>0</v>
      </c>
    </row>
    <row r="98" spans="1:18" x14ac:dyDescent="0.25">
      <c r="A98" s="3">
        <v>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5">
        <f t="shared" ref="L98" si="15">SUM(H98*1)+(I98*2)+(J98*3)+(K98*4)</f>
        <v>0</v>
      </c>
      <c r="M98" s="16">
        <f t="shared" ref="M98" si="16">IF(L98&lt;10,0,IF(L98&lt;20,1,IF(L98&lt;30,2,IF(L98&lt;40,3,IF(L98&gt;=40,4)))))</f>
        <v>0</v>
      </c>
      <c r="N98" s="17"/>
      <c r="O98" s="5">
        <f t="shared" ref="O98" si="17">SUM(H98*1)+(I98*2)+(J98*3)+(K98*4)+IF(N98="Y",2,IF(N98="N",0))</f>
        <v>0</v>
      </c>
      <c r="P98" s="17"/>
      <c r="Q98" s="9" t="str">
        <f t="shared" ref="Q98" si="18">IF(AND(R98&gt;25,P98="Y"),"Yes","No")</f>
        <v>No</v>
      </c>
      <c r="R98" s="6">
        <f t="shared" si="14"/>
        <v>0</v>
      </c>
    </row>
  </sheetData>
  <sortState xmlns:xlrd2="http://schemas.microsoft.com/office/spreadsheetml/2017/richdata2" ref="A2:R98">
    <sortCondition descending="1" ref="R2:R98"/>
  </sortState>
  <dataValidations count="1">
    <dataValidation type="list" showErrorMessage="1" errorTitle="Must be Y or N" error="Must be Y or N" sqref="N2:N98 P2:P98" xr:uid="{00000000-0002-0000-0300-000000000000}">
      <formula1>"Y,N"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ortData">
                <anchor moveWithCells="1" sizeWithCells="1">
                  <from>
                    <xdr:col>1</xdr:col>
                    <xdr:colOff>38100</xdr:colOff>
                    <xdr:row>0</xdr:row>
                    <xdr:rowOff>561975</xdr:rowOff>
                  </from>
                  <to>
                    <xdr:col>1</xdr:col>
                    <xdr:colOff>1171575</xdr:colOff>
                    <xdr:row>0</xdr:row>
                    <xdr:rowOff>1362075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data">
                <anchor moveWithCells="1">
                  <from>
                    <xdr:col>12</xdr:col>
                    <xdr:colOff>66675</xdr:colOff>
                    <xdr:row>0</xdr:row>
                    <xdr:rowOff>342900</xdr:rowOff>
                  </from>
                  <to>
                    <xdr:col>12</xdr:col>
                    <xdr:colOff>600075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Data Entry Sheet</vt:lpstr>
      <vt:lpstr>Sheet1</vt:lpstr>
      <vt:lpstr>Sort Data</vt:lpstr>
    </vt:vector>
  </TitlesOfParts>
  <Company>Coca-Cola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Kathleen Fahle</dc:creator>
  <cp:lastModifiedBy>Kathleen Fahle</cp:lastModifiedBy>
  <dcterms:created xsi:type="dcterms:W3CDTF">2015-02-04T20:23:49Z</dcterms:created>
  <dcterms:modified xsi:type="dcterms:W3CDTF">2025-06-26T22:13:43Z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TIntVersion">
    <vt:i4>15</vt:i4>
  </property>
  <property fmtid="{D5CDD505-2E9C-101B-9397-08002B2CF9AE}" pid="3" name="FILEGUID">
    <vt:lpwstr>cfe0aab7-65f6-4c2a-93d1-dffd27c0465b</vt:lpwstr>
  </property>
  <property fmtid="{D5CDD505-2E9C-101B-9397-08002B2CF9AE}" pid="4" name="MODFILEGUID">
    <vt:lpwstr>0f979f78-9db7-4262-8c99-0d09e1b4941b</vt:lpwstr>
  </property>
  <property fmtid="{D5CDD505-2E9C-101B-9397-08002B2CF9AE}" pid="5" name="FILEOWNER">
    <vt:lpwstr>e33561</vt:lpwstr>
  </property>
  <property fmtid="{D5CDD505-2E9C-101B-9397-08002B2CF9AE}" pid="6" name="MODFILEOWNER">
    <vt:lpwstr>e33561</vt:lpwstr>
  </property>
  <property fmtid="{D5CDD505-2E9C-101B-9397-08002B2CF9AE}" pid="7" name="IPPCLASS">
    <vt:i4>1</vt:i4>
  </property>
  <property fmtid="{D5CDD505-2E9C-101B-9397-08002B2CF9AE}" pid="8" name="MODIPPCLASS">
    <vt:i4>1</vt:i4>
  </property>
  <property fmtid="{D5CDD505-2E9C-101B-9397-08002B2CF9AE}" pid="9" name="MACHINEID">
    <vt:lpwstr>TPSL283076</vt:lpwstr>
  </property>
  <property fmtid="{D5CDD505-2E9C-101B-9397-08002B2CF9AE}" pid="10" name="MODMACHINEID">
    <vt:lpwstr>TPSL283076</vt:lpwstr>
  </property>
  <property fmtid="{D5CDD505-2E9C-101B-9397-08002B2CF9AE}" pid="11" name="CURRENTCLASS">
    <vt:lpwstr>Classified - No Category</vt:lpwstr>
  </property>
</Properties>
</file>