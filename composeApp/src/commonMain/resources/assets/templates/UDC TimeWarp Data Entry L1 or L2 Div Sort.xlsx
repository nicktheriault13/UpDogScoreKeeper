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ections" sheetId="1" r:id="rId4"/>
    <sheet state="visible" name="Data Entry Sheet" sheetId="2" r:id="rId5"/>
    <sheet state="hidden" name="Sheet1" sheetId="3" r:id="rId6"/>
    <sheet state="hidden" name="Sheet3" sheetId="4" r:id="rId7"/>
    <sheet state="visible" name="Sort Sheet" sheetId="5" r:id="rId8"/>
    <sheet state="visible" name="Sort Sheet UPDIF" sheetId="6" r:id="rId9"/>
    <sheet state="hidden" name="Walk Ups" sheetId="7" r:id="rId10"/>
  </sheets>
  <definedNames>
    <definedName name="Division">Sheet3!$F$1:$F$4</definedName>
  </definedNames>
  <calcPr/>
</workbook>
</file>

<file path=xl/sharedStrings.xml><?xml version="1.0" encoding="utf-8"?>
<sst xmlns="http://schemas.openxmlformats.org/spreadsheetml/2006/main" count="94" uniqueCount="57">
  <si>
    <t>1) Double check data on scoresheet</t>
  </si>
  <si>
    <t>2)  Fill out all white cells - do not leave any blank as data is required for assessing achievements earned and in case a tie breaker is needed</t>
  </si>
  <si>
    <t>If no UDT # ensure full names are used for handler and proper spelling for dog</t>
  </si>
  <si>
    <t>To determine placements:</t>
  </si>
  <si>
    <t>3) Go to sort sheet, place cursor in yellow box, press button to sort</t>
  </si>
  <si>
    <t>4) Review missed catches and missed obstacle data for tie breakers</t>
  </si>
  <si>
    <t>If need be a clear data button is available in the total column to clear the sort sheet of previous data</t>
  </si>
  <si>
    <t>Do not rearrange any columns, do not delete the example row!</t>
  </si>
  <si>
    <t>Save this form as the Location name, date, game (Example:  PlantCity2-8-15FunKey)</t>
  </si>
  <si>
    <t>Regular event submissions:</t>
  </si>
  <si>
    <t>https://www.cognitoforms.com/UpDog1/EventResultsSubmissions</t>
  </si>
  <si>
    <t>Or the following if Bite Club games are part of your event.  Even if you play extra games at Bite Club please use the Bite Club form only for results submissions.</t>
  </si>
  <si>
    <t>https://www.cognitoforms.com/UpDog1/BiteClubResultsSubmissions</t>
  </si>
  <si>
    <t>Tie Breaker for Time Warp:</t>
  </si>
  <si>
    <t xml:space="preserve">For teams that have the same number of points, the judges will use the competitors’ finishing time to the nearest </t>
  </si>
  <si>
    <t>hundredth of a second to break the tie. If that doesn’t break the tie (What are the odds of that?), use the criteria below.</t>
  </si>
  <si>
    <t xml:space="preserve">Each team will get one disc and 60 seconds to complete a catch in one of the three mandatory zones (0-10, 10-20, Sweet </t>
  </si>
  <si>
    <t xml:space="preserve">Spot). Time stops when human, dog, and disc are behind the starting line. A catch in the 0-10 zone beats no catch. A </t>
  </si>
  <si>
    <t xml:space="preserve">catch in the 10-20 zone beats a 0-10 catch. A Sweet Spot catch beats a catch in any other zone. If both teams make the </t>
  </si>
  <si>
    <t>catch in the same zone, the team with the fastest time wins the tiebreaker.</t>
  </si>
  <si>
    <t>Foot Fault rules apply. Any quick game of chance can determine throwing order.</t>
  </si>
  <si>
    <t>Time Warp Data Entry</t>
  </si>
  <si>
    <t xml:space="preserve">Level </t>
  </si>
  <si>
    <t>Handler (First and Last Name)</t>
  </si>
  <si>
    <t>Dog</t>
  </si>
  <si>
    <t>UDT #
(this is the UpDog Team # not the competitor #)</t>
  </si>
  <si>
    <t>Remaining Time/Finishing time (nearest 100th of a second - Use 0 if they Did Not Finish)</t>
  </si>
  <si>
    <t># of seconds remaining</t>
  </si>
  <si>
    <t># of Misses</t>
  </si>
  <si>
    <t># of zone catches</t>
  </si>
  <si>
    <r>
      <rPr>
        <rFont val="Calibri"/>
        <color theme="1"/>
        <sz val="11.0"/>
      </rPr>
      <t xml:space="preserve">Sweet Shot Double Shot Completed Successfully? </t>
    </r>
    <r>
      <rPr>
        <rFont val="Calibri"/>
        <color rgb="FFFF0000"/>
        <sz val="11.0"/>
      </rPr>
      <t>(MUST have time remaining to get the SSDS points)</t>
    </r>
  </si>
  <si>
    <t>SSDS Points</t>
  </si>
  <si>
    <t>Total for Zones</t>
  </si>
  <si>
    <r>
      <rPr>
        <rFont val="Calibri"/>
        <color theme="1"/>
        <sz val="11.0"/>
      </rPr>
      <t xml:space="preserve">Were all throws thrown as </t>
    </r>
    <r>
      <rPr>
        <rFont val="Calibri"/>
        <color rgb="FFFF0000"/>
        <sz val="11.0"/>
      </rPr>
      <t>Rollers</t>
    </r>
    <r>
      <rPr>
        <rFont val="Calibri"/>
        <color theme="0"/>
        <sz val="11.0"/>
      </rPr>
      <t xml:space="preserve">           </t>
    </r>
    <r>
      <rPr>
        <rFont val="Calibri"/>
        <color theme="1"/>
        <sz val="11.0"/>
      </rPr>
      <t>Y or N</t>
    </r>
    <r>
      <rPr>
        <rFont val="Calibri"/>
        <color theme="1"/>
        <sz val="11.0"/>
      </rPr>
      <t>?</t>
    </r>
  </si>
  <si>
    <t>High Roller</t>
  </si>
  <si>
    <t>Golden Receiver</t>
  </si>
  <si>
    <t>Division</t>
  </si>
  <si>
    <t>Example</t>
  </si>
  <si>
    <t>Uppy D</t>
  </si>
  <si>
    <t>N</t>
  </si>
  <si>
    <t>MIDI</t>
  </si>
  <si>
    <t>Y</t>
  </si>
  <si>
    <t>No</t>
  </si>
  <si>
    <t>UDT #          (this is the UpDog Team # not the competitor #)</t>
  </si>
  <si>
    <t>Finishing time (nearest 100th of a second - Use 0 if they Did Not Finish)</t>
  </si>
  <si>
    <t>Sweet Shot Double Shot Completed Successfully?</t>
  </si>
  <si>
    <r>
      <rPr>
        <rFont val="Calibri"/>
        <color theme="1"/>
        <sz val="11.0"/>
      </rPr>
      <t xml:space="preserve">Were all throws thrown as </t>
    </r>
    <r>
      <rPr>
        <rFont val="Calibri"/>
        <color theme="0"/>
        <sz val="11.0"/>
      </rPr>
      <t xml:space="preserve">Rollers           </t>
    </r>
    <r>
      <rPr>
        <rFont val="Calibri"/>
        <color theme="1"/>
        <sz val="11.0"/>
      </rPr>
      <t>Y or N</t>
    </r>
    <r>
      <rPr>
        <rFont val="Calibri"/>
        <color theme="1"/>
        <sz val="11.0"/>
      </rPr>
      <t>?</t>
    </r>
  </si>
  <si>
    <r>
      <rPr>
        <rFont val="Calibri"/>
        <color theme="1"/>
        <sz val="11.0"/>
      </rPr>
      <t xml:space="preserve">Were all throws thrown as </t>
    </r>
    <r>
      <rPr>
        <rFont val="Calibri"/>
        <color theme="0"/>
        <sz val="11.0"/>
      </rPr>
      <t xml:space="preserve">Rollers           </t>
    </r>
    <r>
      <rPr>
        <rFont val="Calibri"/>
        <color theme="1"/>
        <sz val="11.0"/>
      </rPr>
      <t>Y or N</t>
    </r>
    <r>
      <rPr>
        <rFont val="Calibri"/>
        <color theme="1"/>
        <sz val="11.0"/>
      </rPr>
      <t>?</t>
    </r>
  </si>
  <si>
    <t>Record Walk Up Team here - please ensure accurate spelling - UDT temp # is handler last name, dog name, event date</t>
  </si>
  <si>
    <t>Handler Name</t>
  </si>
  <si>
    <t>Dog's Name</t>
  </si>
  <si>
    <t>Temporary UDT #</t>
  </si>
  <si>
    <t>Email address or Phone number</t>
  </si>
  <si>
    <t>Example Williams</t>
  </si>
  <si>
    <t>Spot</t>
  </si>
  <si>
    <t>WilliamsSpot3815</t>
  </si>
  <si>
    <t>Williams111@email.com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</si>
</sst>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sz val="10.0"/>
      <color rgb="FF000000"/>
      <name val="Verdana"/>
    </font>
    <font>
      <u/>
      <sz val="11.0"/>
      <color theme="10"/>
      <name val="Calibri"/>
    </font>
    <font>
      <color theme="1"/>
      <name val="Calibri"/>
      <scheme val="minor"/>
    </font>
    <font>
      <sz val="9.0"/>
      <color theme="1"/>
      <name val="Calibri"/>
    </font>
    <font/>
    <font>
      <sz val="11.0"/>
      <color rgb="FF333333"/>
      <name val="Calibri"/>
    </font>
    <font>
      <sz val="11.0"/>
      <color rgb="FF454545"/>
      <name val="Calibri"/>
    </font>
    <font>
      <sz val="12.0"/>
      <color rgb="FF333333"/>
      <name val="Arial"/>
    </font>
    <font>
      <sz val="14.0"/>
      <color rgb="FF333333"/>
      <name val="Arial"/>
    </font>
    <font>
      <sz val="14.0"/>
      <color rgb="FF000000"/>
      <name val="Calibri"/>
    </font>
    <font>
      <sz val="10.0"/>
      <color rgb="FF000000"/>
      <name val="Arial"/>
    </font>
    <font>
      <sz val="11.0"/>
      <color rgb="FF000000"/>
      <name val="Calibri"/>
    </font>
    <font>
      <sz val="14.0"/>
      <color rgb="FF000000"/>
      <name val="Arial"/>
    </font>
    <font>
      <sz val="9.0"/>
      <color rgb="FF000000"/>
      <name val="Arial"/>
    </font>
    <font>
      <sz val="10.0"/>
      <color theme="1"/>
      <name val="Arial"/>
    </font>
    <font>
      <u/>
      <sz val="11.0"/>
      <color theme="1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EECE1"/>
        <bgColor rgb="FFEEECE1"/>
      </patternFill>
    </fill>
    <fill>
      <patternFill patternType="solid">
        <fgColor rgb="FF66FFFF"/>
        <bgColor rgb="FF66FFFF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11">
    <border/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4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0" fillId="0" fontId="6" numFmtId="0" xfId="0" applyFont="1"/>
    <xf borderId="2" fillId="0" fontId="7" numFmtId="0" xfId="0" applyAlignment="1" applyBorder="1" applyFont="1">
      <alignment horizontal="center"/>
    </xf>
    <xf borderId="2" fillId="0" fontId="8" numFmtId="0" xfId="0" applyBorder="1" applyFont="1"/>
    <xf borderId="0" fillId="0" fontId="7" numFmtId="0" xfId="0" applyAlignment="1" applyFont="1">
      <alignment horizontal="center"/>
    </xf>
    <xf borderId="3" fillId="3" fontId="1" numFmtId="0" xfId="0" applyAlignment="1" applyBorder="1" applyFill="1" applyFont="1">
      <alignment horizontal="center" shrinkToFit="0" wrapText="1"/>
    </xf>
    <xf borderId="4" fillId="3" fontId="1" numFmtId="0" xfId="0" applyAlignment="1" applyBorder="1" applyFont="1">
      <alignment horizontal="center" shrinkToFit="0" wrapText="1"/>
    </xf>
    <xf borderId="4" fillId="3" fontId="1" numFmtId="2" xfId="0" applyAlignment="1" applyBorder="1" applyFont="1" applyNumberFormat="1">
      <alignment horizontal="center" shrinkToFit="0" wrapText="1"/>
    </xf>
    <xf borderId="4" fillId="3" fontId="1" numFmtId="1" xfId="0" applyAlignment="1" applyBorder="1" applyFont="1" applyNumberFormat="1">
      <alignment horizontal="center" shrinkToFit="0" wrapText="1"/>
    </xf>
    <xf borderId="5" fillId="3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6" fillId="4" fontId="1" numFmtId="0" xfId="0" applyAlignment="1" applyBorder="1" applyFill="1" applyFont="1">
      <alignment horizontal="center"/>
    </xf>
    <xf borderId="6" fillId="4" fontId="1" numFmtId="2" xfId="0" applyAlignment="1" applyBorder="1" applyFont="1" applyNumberFormat="1">
      <alignment horizontal="center"/>
    </xf>
    <xf borderId="6" fillId="4" fontId="1" numFmtId="1" xfId="0" applyAlignment="1" applyBorder="1" applyFont="1" applyNumberFormat="1">
      <alignment horizontal="center"/>
    </xf>
    <xf borderId="7" fillId="4" fontId="9" numFmtId="0" xfId="0" applyAlignment="1" applyBorder="1" applyFont="1">
      <alignment horizontal="center"/>
    </xf>
    <xf borderId="8" fillId="4" fontId="1" numFmtId="0" xfId="0" applyAlignment="1" applyBorder="1" applyFont="1">
      <alignment horizontal="center"/>
    </xf>
    <xf borderId="7" fillId="4" fontId="9" numFmtId="1" xfId="0" applyAlignment="1" applyBorder="1" applyFont="1" applyNumberFormat="1">
      <alignment horizontal="center"/>
    </xf>
    <xf borderId="8" fillId="0" fontId="1" numFmtId="0" xfId="0" applyAlignment="1" applyBorder="1" applyFont="1">
      <alignment horizontal="center"/>
    </xf>
    <xf borderId="0" fillId="0" fontId="10" numFmtId="0" xfId="0" applyFont="1"/>
    <xf borderId="0" fillId="0" fontId="1" numFmtId="0" xfId="0" applyFont="1"/>
    <xf borderId="0" fillId="0" fontId="11" numFmtId="0" xfId="0" applyAlignment="1" applyFont="1">
      <alignment shrinkToFit="0" vertical="center" wrapText="1"/>
    </xf>
    <xf borderId="6" fillId="5" fontId="1" numFmtId="0" xfId="0" applyAlignment="1" applyBorder="1" applyFill="1" applyFont="1">
      <alignment horizontal="center"/>
    </xf>
    <xf borderId="9" fillId="0" fontId="1" numFmtId="1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/>
    </xf>
    <xf borderId="6" fillId="6" fontId="1" numFmtId="0" xfId="0" applyAlignment="1" applyBorder="1" applyFill="1" applyFont="1">
      <alignment horizontal="center"/>
    </xf>
    <xf borderId="7" fillId="6" fontId="9" numFmtId="0" xfId="0" applyAlignment="1" applyBorder="1" applyFont="1">
      <alignment horizontal="center"/>
    </xf>
    <xf borderId="8" fillId="6" fontId="1" numFmtId="0" xfId="0" applyAlignment="1" applyBorder="1" applyFont="1">
      <alignment horizontal="center"/>
    </xf>
    <xf borderId="0" fillId="0" fontId="12" numFmtId="0" xfId="0" applyAlignment="1" applyFont="1">
      <alignment shrinkToFit="0" vertical="center" wrapText="1"/>
    </xf>
    <xf borderId="9" fillId="0" fontId="1" numFmtId="2" xfId="0" applyAlignment="1" applyBorder="1" applyFont="1" applyNumberFormat="1">
      <alignment horizontal="center"/>
    </xf>
    <xf borderId="10" fillId="0" fontId="13" numFmtId="0" xfId="0" applyAlignment="1" applyBorder="1" applyFont="1">
      <alignment shrinkToFit="0" wrapText="1"/>
    </xf>
    <xf borderId="8" fillId="0" fontId="14" numFmtId="0" xfId="0" applyAlignment="1" applyBorder="1" applyFont="1">
      <alignment shrinkToFit="0" wrapText="1"/>
    </xf>
    <xf borderId="8" fillId="0" fontId="15" numFmtId="0" xfId="0" applyAlignment="1" applyBorder="1" applyFont="1">
      <alignment shrinkToFit="0" wrapText="1"/>
    </xf>
    <xf borderId="8" fillId="0" fontId="13" numFmtId="0" xfId="0" applyAlignment="1" applyBorder="1" applyFont="1">
      <alignment shrinkToFit="0" wrapText="1"/>
    </xf>
    <xf borderId="10" fillId="0" fontId="16" numFmtId="0" xfId="0" applyAlignment="1" applyBorder="1" applyFont="1">
      <alignment shrinkToFit="0" wrapText="1"/>
    </xf>
    <xf borderId="10" fillId="0" fontId="17" numFmtId="0" xfId="0" applyAlignment="1" applyBorder="1" applyFont="1">
      <alignment shrinkToFit="0" wrapText="1"/>
    </xf>
    <xf borderId="8" fillId="0" fontId="1" numFmtId="2" xfId="0" applyAlignment="1" applyBorder="1" applyFont="1" applyNumberFormat="1">
      <alignment horizontal="center"/>
    </xf>
    <xf borderId="10" fillId="0" fontId="14" numFmtId="0" xfId="0" applyAlignment="1" applyBorder="1" applyFont="1">
      <alignment shrinkToFit="0" wrapText="1"/>
    </xf>
    <xf borderId="10" fillId="0" fontId="18" numFmtId="0" xfId="0" applyAlignment="1" applyBorder="1" applyFont="1">
      <alignment shrinkToFit="0" wrapText="1"/>
    </xf>
    <xf borderId="6" fillId="6" fontId="1" numFmtId="1" xfId="0" applyAlignment="1" applyBorder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8" fillId="0" fontId="1" numFmtId="0" xfId="0" applyBorder="1" applyFont="1"/>
    <xf borderId="1" fillId="7" fontId="1" numFmtId="0" xfId="0" applyBorder="1" applyFill="1" applyFont="1"/>
    <xf borderId="1" fillId="7" fontId="19" numFmtId="0" xfId="0" applyBorder="1" applyFont="1"/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strike/>
      </font>
      <fill>
        <patternFill patternType="solid">
          <fgColor rgb="FFF2DBDB"/>
          <bgColor rgb="FFF2DBD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gnitoforms.com/UpDog1/EventResultsSubmissions" TargetMode="External"/><Relationship Id="rId2" Type="http://schemas.openxmlformats.org/officeDocument/2006/relationships/hyperlink" Target="https://www.cognitoforms.com/UpDog1/BiteClubResultsSubmission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Williams111@email.com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43"/>
    <col customWidth="1" min="2" max="26" width="8.71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1" t="s">
        <v>1</v>
      </c>
      <c r="B2" s="1"/>
      <c r="C2" s="1"/>
      <c r="D2" s="1"/>
      <c r="E2" s="1"/>
      <c r="F2" s="1"/>
      <c r="G2" s="1"/>
    </row>
    <row r="3">
      <c r="A3" s="2" t="s">
        <v>2</v>
      </c>
      <c r="B3" s="1"/>
      <c r="C3" s="1"/>
      <c r="D3" s="1"/>
      <c r="E3" s="1"/>
      <c r="F3" s="1"/>
      <c r="G3" s="1"/>
    </row>
    <row r="4">
      <c r="A4" s="3" t="s">
        <v>3</v>
      </c>
      <c r="B4" s="1"/>
      <c r="C4" s="1"/>
      <c r="D4" s="1"/>
      <c r="E4" s="1"/>
      <c r="F4" s="1"/>
      <c r="G4" s="1"/>
    </row>
    <row r="5">
      <c r="A5" s="1" t="s">
        <v>4</v>
      </c>
      <c r="B5" s="1"/>
      <c r="C5" s="1"/>
      <c r="D5" s="1"/>
      <c r="E5" s="1"/>
      <c r="F5" s="1"/>
      <c r="G5" s="1"/>
    </row>
    <row r="6">
      <c r="A6" s="1" t="s">
        <v>5</v>
      </c>
      <c r="B6" s="1"/>
      <c r="C6" s="1"/>
      <c r="D6" s="1"/>
      <c r="E6" s="1"/>
      <c r="F6" s="1"/>
      <c r="G6" s="1"/>
    </row>
    <row r="7">
      <c r="A7" s="1" t="s">
        <v>6</v>
      </c>
      <c r="B7" s="1"/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1" t="s">
        <v>7</v>
      </c>
      <c r="B9" s="1"/>
      <c r="C9" s="1"/>
      <c r="D9" s="1"/>
      <c r="E9" s="1"/>
      <c r="F9" s="1"/>
      <c r="G9" s="1"/>
    </row>
    <row r="10">
      <c r="A10" s="1" t="s">
        <v>8</v>
      </c>
      <c r="B10" s="1"/>
      <c r="C10" s="1"/>
      <c r="D10" s="1"/>
      <c r="E10" s="1"/>
      <c r="F10" s="1"/>
      <c r="G10" s="1"/>
    </row>
    <row r="11">
      <c r="A11" s="4" t="s">
        <v>9</v>
      </c>
      <c r="B11" s="1"/>
      <c r="C11" s="1"/>
      <c r="D11" s="1"/>
      <c r="E11" s="1"/>
      <c r="F11" s="1"/>
      <c r="G11" s="1"/>
    </row>
    <row r="12">
      <c r="A12" s="5" t="s">
        <v>10</v>
      </c>
      <c r="B12" s="1"/>
      <c r="C12" s="1"/>
      <c r="D12" s="1"/>
      <c r="E12" s="1"/>
      <c r="F12" s="1"/>
      <c r="G12" s="1"/>
    </row>
    <row r="13">
      <c r="A13" s="4" t="s">
        <v>11</v>
      </c>
      <c r="B13" s="1"/>
      <c r="C13" s="1"/>
      <c r="D13" s="1"/>
      <c r="E13" s="1"/>
      <c r="F13" s="1"/>
      <c r="G13" s="1"/>
    </row>
    <row r="14">
      <c r="A14" s="5" t="s">
        <v>12</v>
      </c>
      <c r="B14" s="1"/>
      <c r="C14" s="1"/>
      <c r="D14" s="1"/>
      <c r="E14" s="1"/>
      <c r="F14" s="1"/>
      <c r="G14" s="1"/>
    </row>
    <row r="17">
      <c r="A17" s="6" t="s">
        <v>13</v>
      </c>
    </row>
    <row r="18">
      <c r="A18" s="6" t="s">
        <v>14</v>
      </c>
    </row>
    <row r="19">
      <c r="A19" s="6" t="s">
        <v>15</v>
      </c>
    </row>
    <row r="20">
      <c r="A20" s="6" t="s">
        <v>16</v>
      </c>
    </row>
    <row r="21" ht="15.75" customHeight="1">
      <c r="A21" s="6" t="s">
        <v>17</v>
      </c>
    </row>
    <row r="22" ht="15.75" customHeight="1">
      <c r="A22" s="6" t="s">
        <v>18</v>
      </c>
    </row>
    <row r="23" ht="15.75" customHeight="1">
      <c r="A23" s="6" t="s">
        <v>19</v>
      </c>
    </row>
    <row r="24" ht="15.75" customHeight="1">
      <c r="A24" s="6" t="s">
        <v>20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2"/>
    <hyperlink r:id="rId2" ref="A14"/>
  </hyperlinks>
  <printOptions/>
  <pageMargins bottom="0.75" footer="0.0" header="0.0" left="0.7" right="0.7" top="0.75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3" width="24.0"/>
    <col customWidth="1" min="4" max="4" width="15.43"/>
    <col customWidth="1" min="5" max="5" width="13.0"/>
    <col customWidth="1" min="6" max="6" width="9.14"/>
    <col customWidth="1" min="7" max="7" width="10.43"/>
    <col customWidth="1" min="8" max="8" width="8.71"/>
    <col customWidth="1" min="9" max="9" width="12.43"/>
    <col customWidth="1" min="10" max="10" width="6.71"/>
    <col customWidth="1" min="11" max="26" width="8.71"/>
  </cols>
  <sheetData>
    <row r="1">
      <c r="A1" s="7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0.5" customHeight="1">
      <c r="A2" s="10" t="s">
        <v>22</v>
      </c>
      <c r="B2" s="10" t="s">
        <v>23</v>
      </c>
      <c r="C2" s="11" t="s">
        <v>24</v>
      </c>
      <c r="D2" s="11" t="s">
        <v>25</v>
      </c>
      <c r="E2" s="12" t="s">
        <v>26</v>
      </c>
      <c r="F2" s="13" t="s">
        <v>27</v>
      </c>
      <c r="G2" s="11" t="s">
        <v>28</v>
      </c>
      <c r="H2" s="11" t="s">
        <v>29</v>
      </c>
      <c r="I2" s="11" t="s">
        <v>30</v>
      </c>
      <c r="J2" s="11" t="s">
        <v>31</v>
      </c>
      <c r="K2" s="11" t="s">
        <v>32</v>
      </c>
      <c r="L2" s="11" t="s">
        <v>33</v>
      </c>
      <c r="M2" s="14" t="s">
        <v>34</v>
      </c>
      <c r="N2" s="14" t="s">
        <v>35</v>
      </c>
      <c r="O2" s="14" t="s">
        <v>36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>
        <v>1.0</v>
      </c>
      <c r="B3" s="16" t="s">
        <v>37</v>
      </c>
      <c r="C3" s="16" t="s">
        <v>38</v>
      </c>
      <c r="D3" s="16"/>
      <c r="E3" s="17">
        <v>0.0</v>
      </c>
      <c r="F3" s="18">
        <f t="shared" ref="F3:F4" si="1">ROUND(E3,0)</f>
        <v>0</v>
      </c>
      <c r="G3" s="16">
        <v>0.0</v>
      </c>
      <c r="H3" s="16">
        <v>2.0</v>
      </c>
      <c r="I3" s="16" t="s">
        <v>39</v>
      </c>
      <c r="J3" s="16">
        <f t="shared" ref="J3:J298" si="2">IF(I3="Y",25,0)</f>
        <v>0</v>
      </c>
      <c r="K3" s="19">
        <f t="shared" ref="K3:K298" si="3">IF(H3&gt;2,H3*5+F3+J3,H3*5)</f>
        <v>10</v>
      </c>
      <c r="L3" s="16" t="s">
        <v>39</v>
      </c>
      <c r="M3" s="20" t="str">
        <f t="shared" ref="M3:M201" si="4">IF(AND(H3&gt;2,L3="Y"),"Yes","No")</f>
        <v>No</v>
      </c>
      <c r="N3" s="20" t="str">
        <f t="shared" ref="N3:N298" si="5">IF(AND(G3&gt;0),"No","Yes")</f>
        <v>Yes</v>
      </c>
      <c r="O3" s="20" t="s">
        <v>40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>
        <v>1.0</v>
      </c>
      <c r="B4" s="16" t="s">
        <v>37</v>
      </c>
      <c r="C4" s="16" t="s">
        <v>38</v>
      </c>
      <c r="D4" s="16"/>
      <c r="E4" s="17">
        <v>19.52</v>
      </c>
      <c r="F4" s="18">
        <f t="shared" si="1"/>
        <v>20</v>
      </c>
      <c r="G4" s="16">
        <v>0.0</v>
      </c>
      <c r="H4" s="16">
        <v>3.0</v>
      </c>
      <c r="I4" s="16" t="s">
        <v>39</v>
      </c>
      <c r="J4" s="16">
        <f t="shared" si="2"/>
        <v>0</v>
      </c>
      <c r="K4" s="21">
        <f t="shared" si="3"/>
        <v>35</v>
      </c>
      <c r="L4" s="16" t="s">
        <v>41</v>
      </c>
      <c r="M4" s="20" t="str">
        <f t="shared" si="4"/>
        <v>Yes</v>
      </c>
      <c r="N4" s="20" t="str">
        <f t="shared" si="5"/>
        <v>Yes</v>
      </c>
      <c r="O4" s="20" t="s">
        <v>40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22">
        <v>1.0</v>
      </c>
      <c r="B5" s="23"/>
      <c r="C5" s="24"/>
      <c r="D5" s="25"/>
      <c r="E5" s="26"/>
      <c r="F5" s="27"/>
      <c r="G5" s="28"/>
      <c r="H5" s="28"/>
      <c r="I5" s="28"/>
      <c r="J5" s="29">
        <f t="shared" si="2"/>
        <v>0</v>
      </c>
      <c r="K5" s="30">
        <f t="shared" si="3"/>
        <v>0</v>
      </c>
      <c r="L5" s="26"/>
      <c r="M5" s="31" t="str">
        <f t="shared" si="4"/>
        <v>No</v>
      </c>
      <c r="N5" s="31" t="str">
        <f t="shared" si="5"/>
        <v>Yes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22">
        <v>1.0</v>
      </c>
      <c r="B6" s="23"/>
      <c r="C6" s="24"/>
      <c r="D6" s="25"/>
      <c r="E6" s="26"/>
      <c r="F6" s="27"/>
      <c r="G6" s="26"/>
      <c r="H6" s="26"/>
      <c r="I6" s="26"/>
      <c r="J6" s="29">
        <f t="shared" si="2"/>
        <v>0</v>
      </c>
      <c r="K6" s="30">
        <f t="shared" si="3"/>
        <v>0</v>
      </c>
      <c r="L6" s="26"/>
      <c r="M6" s="31" t="str">
        <f t="shared" si="4"/>
        <v>No</v>
      </c>
      <c r="N6" s="31" t="str">
        <f t="shared" si="5"/>
        <v>Yes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2">
        <v>1.0</v>
      </c>
      <c r="B7" s="23"/>
      <c r="C7" s="24"/>
      <c r="D7" s="24"/>
      <c r="E7" s="26"/>
      <c r="F7" s="27"/>
      <c r="G7" s="26"/>
      <c r="H7" s="26"/>
      <c r="I7" s="26"/>
      <c r="J7" s="29">
        <f t="shared" si="2"/>
        <v>0</v>
      </c>
      <c r="K7" s="30">
        <f t="shared" si="3"/>
        <v>0</v>
      </c>
      <c r="L7" s="26"/>
      <c r="M7" s="31" t="str">
        <f t="shared" si="4"/>
        <v>No</v>
      </c>
      <c r="N7" s="31" t="str">
        <f t="shared" si="5"/>
        <v>Yes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22">
        <v>1.0</v>
      </c>
      <c r="B8" s="23"/>
      <c r="C8" s="24"/>
      <c r="D8" s="24"/>
      <c r="E8" s="26"/>
      <c r="F8" s="27"/>
      <c r="G8" s="26"/>
      <c r="H8" s="26"/>
      <c r="I8" s="26"/>
      <c r="J8" s="29">
        <f t="shared" si="2"/>
        <v>0</v>
      </c>
      <c r="K8" s="30">
        <f t="shared" si="3"/>
        <v>0</v>
      </c>
      <c r="L8" s="26"/>
      <c r="M8" s="31" t="str">
        <f t="shared" si="4"/>
        <v>No</v>
      </c>
      <c r="N8" s="31" t="str">
        <f t="shared" si="5"/>
        <v>Yes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2">
        <v>1.0</v>
      </c>
      <c r="B9" s="23"/>
      <c r="C9" s="24"/>
      <c r="D9" s="24"/>
      <c r="E9" s="26"/>
      <c r="F9" s="27"/>
      <c r="G9" s="26"/>
      <c r="H9" s="26"/>
      <c r="I9" s="26"/>
      <c r="J9" s="29">
        <f t="shared" si="2"/>
        <v>0</v>
      </c>
      <c r="K9" s="30">
        <f t="shared" si="3"/>
        <v>0</v>
      </c>
      <c r="L9" s="26"/>
      <c r="M9" s="31" t="str">
        <f t="shared" si="4"/>
        <v>No</v>
      </c>
      <c r="N9" s="31" t="str">
        <f t="shared" si="5"/>
        <v>Yes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22">
        <v>1.0</v>
      </c>
      <c r="B10" s="23"/>
      <c r="C10" s="24"/>
      <c r="D10" s="24"/>
      <c r="E10" s="26"/>
      <c r="F10" s="27"/>
      <c r="G10" s="26"/>
      <c r="H10" s="26"/>
      <c r="I10" s="26"/>
      <c r="J10" s="29">
        <f t="shared" si="2"/>
        <v>0</v>
      </c>
      <c r="K10" s="30">
        <f t="shared" si="3"/>
        <v>0</v>
      </c>
      <c r="L10" s="26"/>
      <c r="M10" s="31" t="str">
        <f t="shared" si="4"/>
        <v>No</v>
      </c>
      <c r="N10" s="31" t="str">
        <f t="shared" si="5"/>
        <v>Yes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2">
        <v>1.0</v>
      </c>
      <c r="B11" s="23"/>
      <c r="C11" s="24"/>
      <c r="D11" s="32"/>
      <c r="E11" s="33"/>
      <c r="F11" s="27"/>
      <c r="G11" s="26"/>
      <c r="H11" s="26"/>
      <c r="I11" s="26"/>
      <c r="J11" s="29">
        <f t="shared" si="2"/>
        <v>0</v>
      </c>
      <c r="K11" s="30">
        <f t="shared" si="3"/>
        <v>0</v>
      </c>
      <c r="L11" s="26"/>
      <c r="M11" s="31" t="str">
        <f t="shared" si="4"/>
        <v>No</v>
      </c>
      <c r="N11" s="31" t="str">
        <f t="shared" si="5"/>
        <v>Yes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22">
        <v>1.0</v>
      </c>
      <c r="B12" s="23"/>
      <c r="C12" s="24"/>
      <c r="D12" s="24"/>
      <c r="E12" s="33"/>
      <c r="F12" s="27"/>
      <c r="G12" s="26"/>
      <c r="H12" s="26"/>
      <c r="I12" s="26"/>
      <c r="J12" s="29">
        <f t="shared" si="2"/>
        <v>0</v>
      </c>
      <c r="K12" s="30">
        <f t="shared" si="3"/>
        <v>0</v>
      </c>
      <c r="L12" s="26" t="s">
        <v>41</v>
      </c>
      <c r="M12" s="31" t="str">
        <f t="shared" si="4"/>
        <v>No</v>
      </c>
      <c r="N12" s="31" t="str">
        <f t="shared" si="5"/>
        <v>Yes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22">
        <v>1.0</v>
      </c>
      <c r="B13" s="23"/>
      <c r="C13" s="24"/>
      <c r="D13" s="24"/>
      <c r="E13" s="33"/>
      <c r="F13" s="27"/>
      <c r="G13" s="26"/>
      <c r="H13" s="26"/>
      <c r="I13" s="26"/>
      <c r="J13" s="29">
        <f t="shared" si="2"/>
        <v>0</v>
      </c>
      <c r="K13" s="30">
        <f t="shared" si="3"/>
        <v>0</v>
      </c>
      <c r="L13" s="26" t="s">
        <v>39</v>
      </c>
      <c r="M13" s="31" t="str">
        <f t="shared" si="4"/>
        <v>No</v>
      </c>
      <c r="N13" s="31" t="str">
        <f t="shared" si="5"/>
        <v>Yes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22">
        <v>1.0</v>
      </c>
      <c r="B14" s="23"/>
      <c r="C14" s="24"/>
      <c r="D14" s="24"/>
      <c r="E14" s="33"/>
      <c r="F14" s="27"/>
      <c r="G14" s="26"/>
      <c r="H14" s="26"/>
      <c r="I14" s="26"/>
      <c r="J14" s="29">
        <f t="shared" si="2"/>
        <v>0</v>
      </c>
      <c r="K14" s="30">
        <f t="shared" si="3"/>
        <v>0</v>
      </c>
      <c r="L14" s="26" t="s">
        <v>39</v>
      </c>
      <c r="M14" s="31" t="str">
        <f t="shared" si="4"/>
        <v>No</v>
      </c>
      <c r="N14" s="31" t="str">
        <f t="shared" si="5"/>
        <v>Yes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2">
        <v>1.0</v>
      </c>
      <c r="B15" s="24"/>
      <c r="C15" s="24"/>
      <c r="D15" s="32"/>
      <c r="E15" s="33"/>
      <c r="F15" s="27"/>
      <c r="G15" s="26"/>
      <c r="H15" s="26"/>
      <c r="I15" s="26"/>
      <c r="J15" s="29">
        <f t="shared" si="2"/>
        <v>0</v>
      </c>
      <c r="K15" s="30">
        <f t="shared" si="3"/>
        <v>0</v>
      </c>
      <c r="L15" s="26" t="s">
        <v>39</v>
      </c>
      <c r="M15" s="31" t="str">
        <f t="shared" si="4"/>
        <v>No</v>
      </c>
      <c r="N15" s="31" t="str">
        <f t="shared" si="5"/>
        <v>Yes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22">
        <v>1.0</v>
      </c>
      <c r="B16" s="23"/>
      <c r="C16" s="24"/>
      <c r="D16" s="24"/>
      <c r="E16" s="33"/>
      <c r="F16" s="27"/>
      <c r="G16" s="26"/>
      <c r="H16" s="26"/>
      <c r="I16" s="26"/>
      <c r="J16" s="29">
        <f t="shared" si="2"/>
        <v>0</v>
      </c>
      <c r="K16" s="30">
        <f t="shared" si="3"/>
        <v>0</v>
      </c>
      <c r="L16" s="26"/>
      <c r="M16" s="31" t="str">
        <f t="shared" si="4"/>
        <v>No</v>
      </c>
      <c r="N16" s="31" t="str">
        <f t="shared" si="5"/>
        <v>Yes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22">
        <v>1.0</v>
      </c>
      <c r="B17" s="23"/>
      <c r="C17" s="24"/>
      <c r="D17" s="24"/>
      <c r="E17" s="33"/>
      <c r="F17" s="27"/>
      <c r="G17" s="26"/>
      <c r="H17" s="26"/>
      <c r="I17" s="26"/>
      <c r="J17" s="29">
        <f t="shared" si="2"/>
        <v>0</v>
      </c>
      <c r="K17" s="30">
        <f t="shared" si="3"/>
        <v>0</v>
      </c>
      <c r="L17" s="26"/>
      <c r="M17" s="31" t="str">
        <f t="shared" si="4"/>
        <v>No</v>
      </c>
      <c r="N17" s="31" t="str">
        <f t="shared" si="5"/>
        <v>Yes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22">
        <v>1.0</v>
      </c>
      <c r="B18" s="23"/>
      <c r="C18" s="24"/>
      <c r="D18" s="24"/>
      <c r="E18" s="33"/>
      <c r="F18" s="27"/>
      <c r="G18" s="26"/>
      <c r="H18" s="26"/>
      <c r="I18" s="26"/>
      <c r="J18" s="29">
        <f t="shared" si="2"/>
        <v>0</v>
      </c>
      <c r="K18" s="30">
        <f t="shared" si="3"/>
        <v>0</v>
      </c>
      <c r="L18" s="26"/>
      <c r="M18" s="31" t="str">
        <f t="shared" si="4"/>
        <v>No</v>
      </c>
      <c r="N18" s="31" t="str">
        <f t="shared" si="5"/>
        <v>Yes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22">
        <v>1.0</v>
      </c>
      <c r="B19" s="23"/>
      <c r="C19" s="24"/>
      <c r="D19" s="24"/>
      <c r="E19" s="33"/>
      <c r="F19" s="27"/>
      <c r="G19" s="26"/>
      <c r="H19" s="26"/>
      <c r="I19" s="26"/>
      <c r="J19" s="29">
        <f t="shared" si="2"/>
        <v>0</v>
      </c>
      <c r="K19" s="30">
        <f t="shared" si="3"/>
        <v>0</v>
      </c>
      <c r="L19" s="26"/>
      <c r="M19" s="31" t="str">
        <f t="shared" si="4"/>
        <v>No</v>
      </c>
      <c r="N19" s="31" t="str">
        <f t="shared" si="5"/>
        <v>Yes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22">
        <v>1.0</v>
      </c>
      <c r="B20" s="23"/>
      <c r="C20" s="24"/>
      <c r="D20" s="24"/>
      <c r="E20" s="33"/>
      <c r="F20" s="27"/>
      <c r="G20" s="26"/>
      <c r="H20" s="26"/>
      <c r="I20" s="26"/>
      <c r="J20" s="29">
        <f t="shared" si="2"/>
        <v>0</v>
      </c>
      <c r="K20" s="30">
        <f t="shared" si="3"/>
        <v>0</v>
      </c>
      <c r="L20" s="26" t="s">
        <v>41</v>
      </c>
      <c r="M20" s="31" t="str">
        <f t="shared" si="4"/>
        <v>No</v>
      </c>
      <c r="N20" s="31" t="str">
        <f t="shared" si="5"/>
        <v>Yes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22">
        <v>1.0</v>
      </c>
      <c r="B21" s="23"/>
      <c r="C21" s="24"/>
      <c r="D21" s="24"/>
      <c r="E21" s="33"/>
      <c r="F21" s="27"/>
      <c r="G21" s="26"/>
      <c r="H21" s="26"/>
      <c r="I21" s="26"/>
      <c r="J21" s="29">
        <f t="shared" si="2"/>
        <v>0</v>
      </c>
      <c r="K21" s="30">
        <f t="shared" si="3"/>
        <v>0</v>
      </c>
      <c r="L21" s="26"/>
      <c r="M21" s="31" t="str">
        <f t="shared" si="4"/>
        <v>No</v>
      </c>
      <c r="N21" s="31" t="str">
        <f t="shared" si="5"/>
        <v>Yes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22">
        <v>1.0</v>
      </c>
      <c r="B22" s="24"/>
      <c r="C22" s="24"/>
      <c r="D22" s="32"/>
      <c r="E22" s="33"/>
      <c r="F22" s="27"/>
      <c r="G22" s="26"/>
      <c r="H22" s="26"/>
      <c r="I22" s="26"/>
      <c r="J22" s="29">
        <f t="shared" si="2"/>
        <v>0</v>
      </c>
      <c r="K22" s="30">
        <f t="shared" si="3"/>
        <v>0</v>
      </c>
      <c r="L22" s="26"/>
      <c r="M22" s="31" t="str">
        <f t="shared" si="4"/>
        <v>No</v>
      </c>
      <c r="N22" s="31" t="str">
        <f t="shared" si="5"/>
        <v>Yes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22">
        <v>1.0</v>
      </c>
      <c r="B23" s="23"/>
      <c r="C23" s="24"/>
      <c r="D23" s="24"/>
      <c r="E23" s="33"/>
      <c r="F23" s="27"/>
      <c r="G23" s="26"/>
      <c r="H23" s="26"/>
      <c r="I23" s="26"/>
      <c r="J23" s="29">
        <f t="shared" si="2"/>
        <v>0</v>
      </c>
      <c r="K23" s="30">
        <f t="shared" si="3"/>
        <v>0</v>
      </c>
      <c r="L23" s="26"/>
      <c r="M23" s="31" t="str">
        <f t="shared" si="4"/>
        <v>No</v>
      </c>
      <c r="N23" s="31" t="str">
        <f t="shared" si="5"/>
        <v>Yes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22">
        <v>1.0</v>
      </c>
      <c r="B24" s="23"/>
      <c r="C24" s="24"/>
      <c r="D24" s="24"/>
      <c r="E24" s="33"/>
      <c r="F24" s="27"/>
      <c r="G24" s="26"/>
      <c r="H24" s="26"/>
      <c r="I24" s="26"/>
      <c r="J24" s="29">
        <f t="shared" si="2"/>
        <v>0</v>
      </c>
      <c r="K24" s="30">
        <f t="shared" si="3"/>
        <v>0</v>
      </c>
      <c r="L24" s="26"/>
      <c r="M24" s="31" t="str">
        <f t="shared" si="4"/>
        <v>No</v>
      </c>
      <c r="N24" s="31" t="str">
        <f t="shared" si="5"/>
        <v>Yes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22">
        <v>1.0</v>
      </c>
      <c r="B25" s="23"/>
      <c r="C25" s="24"/>
      <c r="D25" s="24"/>
      <c r="E25" s="33"/>
      <c r="F25" s="27"/>
      <c r="G25" s="26"/>
      <c r="H25" s="26"/>
      <c r="I25" s="26"/>
      <c r="J25" s="29">
        <f t="shared" si="2"/>
        <v>0</v>
      </c>
      <c r="K25" s="30">
        <f t="shared" si="3"/>
        <v>0</v>
      </c>
      <c r="L25" s="26"/>
      <c r="M25" s="31" t="str">
        <f t="shared" si="4"/>
        <v>No</v>
      </c>
      <c r="N25" s="31" t="str">
        <f t="shared" si="5"/>
        <v>Yes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22">
        <v>1.0</v>
      </c>
      <c r="B26" s="23"/>
      <c r="C26" s="24"/>
      <c r="D26" s="24"/>
      <c r="E26" s="33"/>
      <c r="F26" s="27"/>
      <c r="G26" s="26"/>
      <c r="H26" s="26"/>
      <c r="I26" s="26"/>
      <c r="J26" s="29">
        <f t="shared" si="2"/>
        <v>0</v>
      </c>
      <c r="K26" s="30">
        <f t="shared" si="3"/>
        <v>0</v>
      </c>
      <c r="L26" s="26"/>
      <c r="M26" s="31" t="str">
        <f t="shared" si="4"/>
        <v>No</v>
      </c>
      <c r="N26" s="31" t="str">
        <f t="shared" si="5"/>
        <v>Yes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22">
        <v>1.0</v>
      </c>
      <c r="B27" s="23"/>
      <c r="C27" s="24"/>
      <c r="D27" s="24"/>
      <c r="E27" s="33"/>
      <c r="F27" s="27"/>
      <c r="G27" s="26"/>
      <c r="H27" s="26"/>
      <c r="I27" s="26"/>
      <c r="J27" s="29">
        <f t="shared" si="2"/>
        <v>0</v>
      </c>
      <c r="K27" s="30">
        <f t="shared" si="3"/>
        <v>0</v>
      </c>
      <c r="L27" s="26"/>
      <c r="M27" s="31" t="str">
        <f t="shared" si="4"/>
        <v>No</v>
      </c>
      <c r="N27" s="31" t="str">
        <f t="shared" si="5"/>
        <v>Yes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22">
        <v>1.0</v>
      </c>
      <c r="B28" s="34"/>
      <c r="C28" s="34"/>
      <c r="D28" s="32"/>
      <c r="E28" s="33"/>
      <c r="F28" s="27"/>
      <c r="G28" s="26"/>
      <c r="H28" s="26"/>
      <c r="I28" s="26"/>
      <c r="J28" s="29">
        <f t="shared" si="2"/>
        <v>0</v>
      </c>
      <c r="K28" s="30">
        <f t="shared" si="3"/>
        <v>0</v>
      </c>
      <c r="L28" s="26"/>
      <c r="M28" s="31" t="str">
        <f t="shared" si="4"/>
        <v>No</v>
      </c>
      <c r="N28" s="31" t="str">
        <f t="shared" si="5"/>
        <v>Yes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22">
        <v>1.0</v>
      </c>
      <c r="B29" s="23"/>
      <c r="C29" s="24"/>
      <c r="D29" s="24"/>
      <c r="E29" s="33"/>
      <c r="F29" s="27"/>
      <c r="G29" s="26"/>
      <c r="H29" s="26"/>
      <c r="I29" s="26"/>
      <c r="J29" s="29">
        <f t="shared" si="2"/>
        <v>0</v>
      </c>
      <c r="K29" s="30">
        <f t="shared" si="3"/>
        <v>0</v>
      </c>
      <c r="L29" s="26" t="s">
        <v>41</v>
      </c>
      <c r="M29" s="31" t="str">
        <f t="shared" si="4"/>
        <v>No</v>
      </c>
      <c r="N29" s="31" t="str">
        <f t="shared" si="5"/>
        <v>Yes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22">
        <v>1.0</v>
      </c>
      <c r="B30" s="23"/>
      <c r="C30" s="24"/>
      <c r="D30" s="24"/>
      <c r="E30" s="33"/>
      <c r="F30" s="27"/>
      <c r="G30" s="26"/>
      <c r="H30" s="26"/>
      <c r="I30" s="26"/>
      <c r="J30" s="29">
        <f t="shared" si="2"/>
        <v>0</v>
      </c>
      <c r="K30" s="30">
        <f t="shared" si="3"/>
        <v>0</v>
      </c>
      <c r="L30" s="26"/>
      <c r="M30" s="31" t="str">
        <f t="shared" si="4"/>
        <v>No</v>
      </c>
      <c r="N30" s="31" t="str">
        <f t="shared" si="5"/>
        <v>Yes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22">
        <v>1.0</v>
      </c>
      <c r="B31" s="23"/>
      <c r="C31" s="24"/>
      <c r="D31" s="24"/>
      <c r="E31" s="33"/>
      <c r="F31" s="27"/>
      <c r="G31" s="26"/>
      <c r="H31" s="26"/>
      <c r="I31" s="26"/>
      <c r="J31" s="29">
        <f t="shared" si="2"/>
        <v>0</v>
      </c>
      <c r="K31" s="30">
        <f t="shared" si="3"/>
        <v>0</v>
      </c>
      <c r="L31" s="26"/>
      <c r="M31" s="31" t="str">
        <f t="shared" si="4"/>
        <v>No</v>
      </c>
      <c r="N31" s="31" t="str">
        <f t="shared" si="5"/>
        <v>Yes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22">
        <v>1.0</v>
      </c>
      <c r="B32" s="23"/>
      <c r="C32" s="24"/>
      <c r="D32" s="24"/>
      <c r="E32" s="33"/>
      <c r="F32" s="27"/>
      <c r="G32" s="26"/>
      <c r="H32" s="26"/>
      <c r="I32" s="26"/>
      <c r="J32" s="29">
        <f t="shared" si="2"/>
        <v>0</v>
      </c>
      <c r="K32" s="30">
        <f t="shared" si="3"/>
        <v>0</v>
      </c>
      <c r="L32" s="26"/>
      <c r="M32" s="31" t="str">
        <f t="shared" si="4"/>
        <v>No</v>
      </c>
      <c r="N32" s="31" t="str">
        <f t="shared" si="5"/>
        <v>Yes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22">
        <v>1.0</v>
      </c>
      <c r="B33" s="23"/>
      <c r="C33" s="24"/>
      <c r="D33" s="24"/>
      <c r="E33" s="33"/>
      <c r="F33" s="27"/>
      <c r="G33" s="26"/>
      <c r="H33" s="26"/>
      <c r="I33" s="26"/>
      <c r="J33" s="29">
        <f t="shared" si="2"/>
        <v>0</v>
      </c>
      <c r="K33" s="30">
        <f t="shared" si="3"/>
        <v>0</v>
      </c>
      <c r="L33" s="26"/>
      <c r="M33" s="31" t="str">
        <f t="shared" si="4"/>
        <v>No</v>
      </c>
      <c r="N33" s="31" t="str">
        <f t="shared" si="5"/>
        <v>Yes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22">
        <v>1.0</v>
      </c>
      <c r="B34" s="35"/>
      <c r="C34" s="36"/>
      <c r="D34" s="32"/>
      <c r="E34" s="33"/>
      <c r="F34" s="27"/>
      <c r="G34" s="26"/>
      <c r="H34" s="26"/>
      <c r="I34" s="26"/>
      <c r="J34" s="29">
        <f t="shared" si="2"/>
        <v>0</v>
      </c>
      <c r="K34" s="30">
        <f t="shared" si="3"/>
        <v>0</v>
      </c>
      <c r="L34" s="26"/>
      <c r="M34" s="31" t="str">
        <f t="shared" si="4"/>
        <v>No</v>
      </c>
      <c r="N34" s="31" t="str">
        <f t="shared" si="5"/>
        <v>Yes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22">
        <v>1.0</v>
      </c>
      <c r="B35" s="37"/>
      <c r="C35" s="37"/>
      <c r="D35" s="32"/>
      <c r="E35" s="33"/>
      <c r="F35" s="27"/>
      <c r="G35" s="26"/>
      <c r="H35" s="26"/>
      <c r="I35" s="26"/>
      <c r="J35" s="29">
        <f t="shared" si="2"/>
        <v>0</v>
      </c>
      <c r="K35" s="30">
        <f t="shared" si="3"/>
        <v>0</v>
      </c>
      <c r="L35" s="26"/>
      <c r="M35" s="31" t="str">
        <f t="shared" si="4"/>
        <v>No</v>
      </c>
      <c r="N35" s="31" t="str">
        <f t="shared" si="5"/>
        <v>Yes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22">
        <v>1.0</v>
      </c>
      <c r="B36" s="23"/>
      <c r="C36" s="24"/>
      <c r="D36" s="24"/>
      <c r="E36" s="33"/>
      <c r="F36" s="27"/>
      <c r="G36" s="26"/>
      <c r="H36" s="26"/>
      <c r="I36" s="26"/>
      <c r="J36" s="29">
        <f t="shared" si="2"/>
        <v>0</v>
      </c>
      <c r="K36" s="30">
        <f t="shared" si="3"/>
        <v>0</v>
      </c>
      <c r="L36" s="26"/>
      <c r="M36" s="31" t="str">
        <f t="shared" si="4"/>
        <v>No</v>
      </c>
      <c r="N36" s="31" t="str">
        <f t="shared" si="5"/>
        <v>Yes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22">
        <v>1.0</v>
      </c>
      <c r="B37" s="24"/>
      <c r="C37" s="24"/>
      <c r="D37" s="15"/>
      <c r="E37" s="33"/>
      <c r="F37" s="27"/>
      <c r="G37" s="26"/>
      <c r="H37" s="26"/>
      <c r="I37" s="26"/>
      <c r="J37" s="29">
        <f t="shared" si="2"/>
        <v>0</v>
      </c>
      <c r="K37" s="30">
        <f t="shared" si="3"/>
        <v>0</v>
      </c>
      <c r="L37" s="26"/>
      <c r="M37" s="31" t="str">
        <f t="shared" si="4"/>
        <v>No</v>
      </c>
      <c r="N37" s="31" t="str">
        <f t="shared" si="5"/>
        <v>Yes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22">
        <v>1.0</v>
      </c>
      <c r="B38" s="24"/>
      <c r="C38" s="24"/>
      <c r="D38" s="15"/>
      <c r="E38" s="33"/>
      <c r="F38" s="27"/>
      <c r="G38" s="26"/>
      <c r="H38" s="26"/>
      <c r="I38" s="26"/>
      <c r="J38" s="29">
        <f t="shared" si="2"/>
        <v>0</v>
      </c>
      <c r="K38" s="30">
        <f t="shared" si="3"/>
        <v>0</v>
      </c>
      <c r="L38" s="26"/>
      <c r="M38" s="31" t="str">
        <f t="shared" si="4"/>
        <v>No</v>
      </c>
      <c r="N38" s="31" t="str">
        <f t="shared" si="5"/>
        <v>Yes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22">
        <v>1.0</v>
      </c>
      <c r="B39" s="23"/>
      <c r="C39" s="24"/>
      <c r="D39" s="24"/>
      <c r="E39" s="33"/>
      <c r="F39" s="27"/>
      <c r="G39" s="26"/>
      <c r="H39" s="26"/>
      <c r="I39" s="26"/>
      <c r="J39" s="29">
        <f t="shared" si="2"/>
        <v>0</v>
      </c>
      <c r="K39" s="30">
        <f t="shared" si="3"/>
        <v>0</v>
      </c>
      <c r="L39" s="26"/>
      <c r="M39" s="31" t="str">
        <f t="shared" si="4"/>
        <v>No</v>
      </c>
      <c r="N39" s="31" t="str">
        <f t="shared" si="5"/>
        <v>Yes</v>
      </c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22">
        <v>1.0</v>
      </c>
      <c r="B40" s="23"/>
      <c r="C40" s="24"/>
      <c r="D40" s="24"/>
      <c r="E40" s="33"/>
      <c r="F40" s="27"/>
      <c r="G40" s="26"/>
      <c r="H40" s="26"/>
      <c r="I40" s="26"/>
      <c r="J40" s="29">
        <f t="shared" si="2"/>
        <v>0</v>
      </c>
      <c r="K40" s="30">
        <f t="shared" si="3"/>
        <v>0</v>
      </c>
      <c r="L40" s="26"/>
      <c r="M40" s="31" t="str">
        <f t="shared" si="4"/>
        <v>No</v>
      </c>
      <c r="N40" s="31" t="str">
        <f t="shared" si="5"/>
        <v>Yes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22">
        <v>1.0</v>
      </c>
      <c r="B41" s="23"/>
      <c r="C41" s="24"/>
      <c r="D41" s="24"/>
      <c r="E41" s="33"/>
      <c r="F41" s="27"/>
      <c r="G41" s="26"/>
      <c r="H41" s="26"/>
      <c r="I41" s="26"/>
      <c r="J41" s="29">
        <f t="shared" si="2"/>
        <v>0</v>
      </c>
      <c r="K41" s="30">
        <f t="shared" si="3"/>
        <v>0</v>
      </c>
      <c r="L41" s="26"/>
      <c r="M41" s="31" t="str">
        <f t="shared" si="4"/>
        <v>No</v>
      </c>
      <c r="N41" s="31" t="str">
        <f t="shared" si="5"/>
        <v>Yes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22">
        <v>1.0</v>
      </c>
      <c r="B42" s="23"/>
      <c r="C42" s="24"/>
      <c r="D42" s="24"/>
      <c r="E42" s="33"/>
      <c r="F42" s="27"/>
      <c r="G42" s="26"/>
      <c r="H42" s="26"/>
      <c r="I42" s="26"/>
      <c r="J42" s="29">
        <f t="shared" si="2"/>
        <v>0</v>
      </c>
      <c r="K42" s="30">
        <f t="shared" si="3"/>
        <v>0</v>
      </c>
      <c r="L42" s="26"/>
      <c r="M42" s="31" t="str">
        <f t="shared" si="4"/>
        <v>No</v>
      </c>
      <c r="N42" s="31" t="str">
        <f t="shared" si="5"/>
        <v>Yes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22">
        <v>1.0</v>
      </c>
      <c r="B43" s="24"/>
      <c r="C43" s="24"/>
      <c r="D43" s="15"/>
      <c r="E43" s="33"/>
      <c r="F43" s="27"/>
      <c r="G43" s="26"/>
      <c r="H43" s="26"/>
      <c r="I43" s="26"/>
      <c r="J43" s="29">
        <f t="shared" si="2"/>
        <v>0</v>
      </c>
      <c r="K43" s="30">
        <f t="shared" si="3"/>
        <v>0</v>
      </c>
      <c r="L43" s="26"/>
      <c r="M43" s="31" t="str">
        <f t="shared" si="4"/>
        <v>No</v>
      </c>
      <c r="N43" s="31" t="str">
        <f t="shared" si="5"/>
        <v>Yes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22">
        <v>1.0</v>
      </c>
      <c r="B44" s="23"/>
      <c r="C44" s="24"/>
      <c r="D44" s="24"/>
      <c r="E44" s="33"/>
      <c r="F44" s="27"/>
      <c r="G44" s="26"/>
      <c r="H44" s="26"/>
      <c r="I44" s="26"/>
      <c r="J44" s="29">
        <f t="shared" si="2"/>
        <v>0</v>
      </c>
      <c r="K44" s="30">
        <f t="shared" si="3"/>
        <v>0</v>
      </c>
      <c r="L44" s="26"/>
      <c r="M44" s="31" t="str">
        <f t="shared" si="4"/>
        <v>No</v>
      </c>
      <c r="N44" s="31" t="str">
        <f t="shared" si="5"/>
        <v>Yes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22">
        <v>1.0</v>
      </c>
      <c r="B45" s="23"/>
      <c r="C45" s="24"/>
      <c r="D45" s="24"/>
      <c r="E45" s="33"/>
      <c r="F45" s="27"/>
      <c r="G45" s="26"/>
      <c r="H45" s="26"/>
      <c r="I45" s="26"/>
      <c r="J45" s="29">
        <f t="shared" si="2"/>
        <v>0</v>
      </c>
      <c r="K45" s="30">
        <f t="shared" si="3"/>
        <v>0</v>
      </c>
      <c r="L45" s="26"/>
      <c r="M45" s="31" t="str">
        <f t="shared" si="4"/>
        <v>No</v>
      </c>
      <c r="N45" s="31" t="str">
        <f t="shared" si="5"/>
        <v>Yes</v>
      </c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22">
        <v>1.0</v>
      </c>
      <c r="B46" s="23"/>
      <c r="C46" s="24"/>
      <c r="D46" s="24"/>
      <c r="E46" s="33"/>
      <c r="F46" s="27"/>
      <c r="G46" s="26"/>
      <c r="H46" s="26"/>
      <c r="I46" s="26"/>
      <c r="J46" s="29">
        <f t="shared" si="2"/>
        <v>0</v>
      </c>
      <c r="K46" s="30">
        <f t="shared" si="3"/>
        <v>0</v>
      </c>
      <c r="L46" s="26"/>
      <c r="M46" s="31" t="str">
        <f t="shared" si="4"/>
        <v>No</v>
      </c>
      <c r="N46" s="31" t="str">
        <f t="shared" si="5"/>
        <v>Yes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22">
        <v>1.0</v>
      </c>
      <c r="B47" s="23"/>
      <c r="C47" s="24"/>
      <c r="D47" s="24"/>
      <c r="E47" s="33"/>
      <c r="F47" s="27"/>
      <c r="G47" s="26"/>
      <c r="H47" s="26"/>
      <c r="I47" s="26"/>
      <c r="J47" s="29">
        <f t="shared" si="2"/>
        <v>0</v>
      </c>
      <c r="K47" s="30">
        <f t="shared" si="3"/>
        <v>0</v>
      </c>
      <c r="L47" s="26"/>
      <c r="M47" s="31" t="str">
        <f t="shared" si="4"/>
        <v>No</v>
      </c>
      <c r="N47" s="31" t="str">
        <f t="shared" si="5"/>
        <v>Yes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22">
        <v>1.0</v>
      </c>
      <c r="B48" s="23"/>
      <c r="C48" s="24"/>
      <c r="D48" s="24"/>
      <c r="E48" s="33"/>
      <c r="F48" s="27"/>
      <c r="G48" s="26"/>
      <c r="H48" s="26"/>
      <c r="I48" s="26"/>
      <c r="J48" s="29">
        <f t="shared" si="2"/>
        <v>0</v>
      </c>
      <c r="K48" s="30">
        <f t="shared" si="3"/>
        <v>0</v>
      </c>
      <c r="L48" s="26"/>
      <c r="M48" s="31" t="str">
        <f t="shared" si="4"/>
        <v>No</v>
      </c>
      <c r="N48" s="31" t="str">
        <f t="shared" si="5"/>
        <v>Yes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22">
        <v>1.0</v>
      </c>
      <c r="B49" s="24"/>
      <c r="C49" s="24"/>
      <c r="D49" s="15"/>
      <c r="E49" s="33"/>
      <c r="F49" s="27"/>
      <c r="G49" s="26"/>
      <c r="H49" s="26"/>
      <c r="I49" s="26"/>
      <c r="J49" s="29">
        <f t="shared" si="2"/>
        <v>0</v>
      </c>
      <c r="K49" s="30">
        <f t="shared" si="3"/>
        <v>0</v>
      </c>
      <c r="L49" s="26"/>
      <c r="M49" s="31" t="str">
        <f t="shared" si="4"/>
        <v>No</v>
      </c>
      <c r="N49" s="31" t="str">
        <f t="shared" si="5"/>
        <v>Yes</v>
      </c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22">
        <v>1.0</v>
      </c>
      <c r="B50" s="24"/>
      <c r="C50" s="24"/>
      <c r="D50" s="15"/>
      <c r="E50" s="33"/>
      <c r="F50" s="27"/>
      <c r="G50" s="26"/>
      <c r="H50" s="26"/>
      <c r="I50" s="26"/>
      <c r="J50" s="29">
        <f t="shared" si="2"/>
        <v>0</v>
      </c>
      <c r="K50" s="30">
        <f t="shared" si="3"/>
        <v>0</v>
      </c>
      <c r="L50" s="26"/>
      <c r="M50" s="31" t="str">
        <f t="shared" si="4"/>
        <v>No</v>
      </c>
      <c r="N50" s="31" t="str">
        <f t="shared" si="5"/>
        <v>Yes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22">
        <v>1.0</v>
      </c>
      <c r="B51" s="23"/>
      <c r="C51" s="24"/>
      <c r="D51" s="24"/>
      <c r="E51" s="33"/>
      <c r="F51" s="27"/>
      <c r="G51" s="26"/>
      <c r="H51" s="26"/>
      <c r="I51" s="26"/>
      <c r="J51" s="29">
        <f t="shared" si="2"/>
        <v>0</v>
      </c>
      <c r="K51" s="30">
        <f t="shared" si="3"/>
        <v>0</v>
      </c>
      <c r="L51" s="26"/>
      <c r="M51" s="31" t="str">
        <f t="shared" si="4"/>
        <v>No</v>
      </c>
      <c r="N51" s="31" t="str">
        <f t="shared" si="5"/>
        <v>Yes</v>
      </c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22">
        <v>1.0</v>
      </c>
      <c r="B52" s="23"/>
      <c r="C52" s="24"/>
      <c r="D52" s="24"/>
      <c r="E52" s="33"/>
      <c r="F52" s="27"/>
      <c r="G52" s="26"/>
      <c r="H52" s="26"/>
      <c r="I52" s="26"/>
      <c r="J52" s="29">
        <f t="shared" si="2"/>
        <v>0</v>
      </c>
      <c r="K52" s="30">
        <f t="shared" si="3"/>
        <v>0</v>
      </c>
      <c r="L52" s="26"/>
      <c r="M52" s="31" t="str">
        <f t="shared" si="4"/>
        <v>No</v>
      </c>
      <c r="N52" s="31" t="str">
        <f t="shared" si="5"/>
        <v>Yes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22">
        <v>1.0</v>
      </c>
      <c r="B53" s="23"/>
      <c r="C53" s="24"/>
      <c r="D53" s="24"/>
      <c r="E53" s="33"/>
      <c r="F53" s="27"/>
      <c r="G53" s="26"/>
      <c r="H53" s="26"/>
      <c r="I53" s="26"/>
      <c r="J53" s="29">
        <f t="shared" si="2"/>
        <v>0</v>
      </c>
      <c r="K53" s="30">
        <f t="shared" si="3"/>
        <v>0</v>
      </c>
      <c r="L53" s="26"/>
      <c r="M53" s="31" t="str">
        <f t="shared" si="4"/>
        <v>No</v>
      </c>
      <c r="N53" s="31" t="str">
        <f t="shared" si="5"/>
        <v>Yes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22">
        <v>1.0</v>
      </c>
      <c r="B54" s="24"/>
      <c r="C54" s="24"/>
      <c r="D54" s="15"/>
      <c r="E54" s="33"/>
      <c r="F54" s="27"/>
      <c r="G54" s="26"/>
      <c r="H54" s="26"/>
      <c r="I54" s="26"/>
      <c r="J54" s="29">
        <f t="shared" si="2"/>
        <v>0</v>
      </c>
      <c r="K54" s="30">
        <f t="shared" si="3"/>
        <v>0</v>
      </c>
      <c r="L54" s="26"/>
      <c r="M54" s="31" t="str">
        <f t="shared" si="4"/>
        <v>No</v>
      </c>
      <c r="N54" s="31" t="str">
        <f t="shared" si="5"/>
        <v>Yes</v>
      </c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22">
        <v>1.0</v>
      </c>
      <c r="B55" s="23"/>
      <c r="C55" s="24"/>
      <c r="D55" s="24"/>
      <c r="E55" s="33"/>
      <c r="F55" s="27"/>
      <c r="G55" s="26"/>
      <c r="H55" s="26"/>
      <c r="I55" s="26"/>
      <c r="J55" s="29">
        <f t="shared" si="2"/>
        <v>0</v>
      </c>
      <c r="K55" s="30">
        <f t="shared" si="3"/>
        <v>0</v>
      </c>
      <c r="L55" s="26"/>
      <c r="M55" s="31" t="str">
        <f t="shared" si="4"/>
        <v>No</v>
      </c>
      <c r="N55" s="31" t="str">
        <f t="shared" si="5"/>
        <v>Yes</v>
      </c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22">
        <v>1.0</v>
      </c>
      <c r="B56" s="23"/>
      <c r="C56" s="24"/>
      <c r="D56" s="24"/>
      <c r="E56" s="33"/>
      <c r="F56" s="27"/>
      <c r="G56" s="26"/>
      <c r="H56" s="26"/>
      <c r="I56" s="26"/>
      <c r="J56" s="29">
        <f t="shared" si="2"/>
        <v>0</v>
      </c>
      <c r="K56" s="30">
        <f t="shared" si="3"/>
        <v>0</v>
      </c>
      <c r="L56" s="26"/>
      <c r="M56" s="31" t="str">
        <f t="shared" si="4"/>
        <v>No</v>
      </c>
      <c r="N56" s="31" t="str">
        <f t="shared" si="5"/>
        <v>Yes</v>
      </c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22">
        <v>1.0</v>
      </c>
      <c r="B57" s="23"/>
      <c r="C57" s="24"/>
      <c r="D57" s="24"/>
      <c r="E57" s="33"/>
      <c r="F57" s="27"/>
      <c r="G57" s="26"/>
      <c r="H57" s="26"/>
      <c r="I57" s="26"/>
      <c r="J57" s="29">
        <f t="shared" si="2"/>
        <v>0</v>
      </c>
      <c r="K57" s="30">
        <f t="shared" si="3"/>
        <v>0</v>
      </c>
      <c r="L57" s="26"/>
      <c r="M57" s="31" t="str">
        <f t="shared" si="4"/>
        <v>No</v>
      </c>
      <c r="N57" s="31" t="str">
        <f t="shared" si="5"/>
        <v>Yes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22">
        <v>1.0</v>
      </c>
      <c r="B58" s="23"/>
      <c r="C58" s="24"/>
      <c r="D58" s="24"/>
      <c r="E58" s="33"/>
      <c r="F58" s="27"/>
      <c r="G58" s="26"/>
      <c r="H58" s="26"/>
      <c r="I58" s="26"/>
      <c r="J58" s="29">
        <f t="shared" si="2"/>
        <v>0</v>
      </c>
      <c r="K58" s="30">
        <f t="shared" si="3"/>
        <v>0</v>
      </c>
      <c r="L58" s="26"/>
      <c r="M58" s="31" t="str">
        <f t="shared" si="4"/>
        <v>No</v>
      </c>
      <c r="N58" s="31" t="str">
        <f t="shared" si="5"/>
        <v>Yes</v>
      </c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22">
        <v>1.0</v>
      </c>
      <c r="B59" s="23"/>
      <c r="C59" s="24"/>
      <c r="D59" s="24"/>
      <c r="E59" s="33"/>
      <c r="F59" s="27"/>
      <c r="G59" s="26"/>
      <c r="H59" s="26"/>
      <c r="I59" s="26"/>
      <c r="J59" s="29">
        <f t="shared" si="2"/>
        <v>0</v>
      </c>
      <c r="K59" s="30">
        <f t="shared" si="3"/>
        <v>0</v>
      </c>
      <c r="L59" s="26"/>
      <c r="M59" s="31" t="str">
        <f t="shared" si="4"/>
        <v>No</v>
      </c>
      <c r="N59" s="31" t="str">
        <f t="shared" si="5"/>
        <v>Yes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22">
        <v>1.0</v>
      </c>
      <c r="B60" s="23"/>
      <c r="C60" s="24"/>
      <c r="D60" s="24"/>
      <c r="E60" s="33"/>
      <c r="F60" s="27"/>
      <c r="G60" s="26"/>
      <c r="H60" s="26"/>
      <c r="I60" s="26"/>
      <c r="J60" s="29">
        <f t="shared" si="2"/>
        <v>0</v>
      </c>
      <c r="K60" s="30">
        <f t="shared" si="3"/>
        <v>0</v>
      </c>
      <c r="L60" s="26"/>
      <c r="M60" s="31" t="str">
        <f t="shared" si="4"/>
        <v>No</v>
      </c>
      <c r="N60" s="31" t="str">
        <f t="shared" si="5"/>
        <v>Yes</v>
      </c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22">
        <v>1.0</v>
      </c>
      <c r="B61" s="23"/>
      <c r="C61" s="24"/>
      <c r="D61" s="24"/>
      <c r="E61" s="33"/>
      <c r="F61" s="27"/>
      <c r="G61" s="26"/>
      <c r="H61" s="26"/>
      <c r="I61" s="26"/>
      <c r="J61" s="29">
        <f t="shared" si="2"/>
        <v>0</v>
      </c>
      <c r="K61" s="30">
        <f t="shared" si="3"/>
        <v>0</v>
      </c>
      <c r="L61" s="26"/>
      <c r="M61" s="31" t="str">
        <f t="shared" si="4"/>
        <v>No</v>
      </c>
      <c r="N61" s="31" t="str">
        <f t="shared" si="5"/>
        <v>Yes</v>
      </c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22">
        <v>1.0</v>
      </c>
      <c r="B62" s="38"/>
      <c r="C62" s="38"/>
      <c r="D62" s="39"/>
      <c r="E62" s="40"/>
      <c r="F62" s="27"/>
      <c r="G62" s="26"/>
      <c r="H62" s="26"/>
      <c r="I62" s="26"/>
      <c r="J62" s="29">
        <f t="shared" si="2"/>
        <v>0</v>
      </c>
      <c r="K62" s="30">
        <f t="shared" si="3"/>
        <v>0</v>
      </c>
      <c r="L62" s="26"/>
      <c r="M62" s="31" t="str">
        <f t="shared" si="4"/>
        <v>No</v>
      </c>
      <c r="N62" s="31" t="str">
        <f t="shared" si="5"/>
        <v>Yes</v>
      </c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22">
        <v>1.0</v>
      </c>
      <c r="B63" s="41"/>
      <c r="C63" s="42"/>
      <c r="D63" s="42"/>
      <c r="E63" s="40"/>
      <c r="F63" s="27"/>
      <c r="G63" s="26"/>
      <c r="H63" s="26"/>
      <c r="I63" s="26"/>
      <c r="J63" s="29">
        <f t="shared" si="2"/>
        <v>0</v>
      </c>
      <c r="K63" s="30">
        <f t="shared" si="3"/>
        <v>0</v>
      </c>
      <c r="L63" s="26"/>
      <c r="M63" s="31" t="str">
        <f t="shared" si="4"/>
        <v>No</v>
      </c>
      <c r="N63" s="31" t="str">
        <f t="shared" si="5"/>
        <v>Yes</v>
      </c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22">
        <v>1.0</v>
      </c>
      <c r="B64" s="41"/>
      <c r="C64" s="42"/>
      <c r="D64" s="42"/>
      <c r="E64" s="40"/>
      <c r="F64" s="27"/>
      <c r="G64" s="26"/>
      <c r="H64" s="26"/>
      <c r="I64" s="26"/>
      <c r="J64" s="29">
        <f t="shared" si="2"/>
        <v>0</v>
      </c>
      <c r="K64" s="30">
        <f t="shared" si="3"/>
        <v>0</v>
      </c>
      <c r="L64" s="26"/>
      <c r="M64" s="31" t="str">
        <f t="shared" si="4"/>
        <v>No</v>
      </c>
      <c r="N64" s="31" t="str">
        <f t="shared" si="5"/>
        <v>Yes</v>
      </c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22">
        <v>1.0</v>
      </c>
      <c r="B65" s="41"/>
      <c r="C65" s="42"/>
      <c r="D65" s="42"/>
      <c r="E65" s="40"/>
      <c r="F65" s="27"/>
      <c r="G65" s="26"/>
      <c r="H65" s="26"/>
      <c r="I65" s="26"/>
      <c r="J65" s="29">
        <f t="shared" si="2"/>
        <v>0</v>
      </c>
      <c r="K65" s="30">
        <f t="shared" si="3"/>
        <v>0</v>
      </c>
      <c r="L65" s="26"/>
      <c r="M65" s="31" t="str">
        <f t="shared" si="4"/>
        <v>No</v>
      </c>
      <c r="N65" s="31" t="str">
        <f t="shared" si="5"/>
        <v>Yes</v>
      </c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22">
        <v>1.0</v>
      </c>
      <c r="B66" s="41"/>
      <c r="C66" s="42"/>
      <c r="D66" s="42"/>
      <c r="E66" s="40"/>
      <c r="F66" s="27"/>
      <c r="G66" s="26"/>
      <c r="H66" s="26"/>
      <c r="I66" s="26"/>
      <c r="J66" s="29">
        <f t="shared" si="2"/>
        <v>0</v>
      </c>
      <c r="K66" s="30">
        <f t="shared" si="3"/>
        <v>0</v>
      </c>
      <c r="L66" s="26"/>
      <c r="M66" s="31" t="str">
        <f t="shared" si="4"/>
        <v>No</v>
      </c>
      <c r="N66" s="31" t="str">
        <f t="shared" si="5"/>
        <v>Yes</v>
      </c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22">
        <v>1.0</v>
      </c>
      <c r="B67" s="41"/>
      <c r="C67" s="42"/>
      <c r="D67" s="42"/>
      <c r="E67" s="40"/>
      <c r="F67" s="27"/>
      <c r="G67" s="26"/>
      <c r="H67" s="26"/>
      <c r="I67" s="26"/>
      <c r="J67" s="29">
        <f t="shared" si="2"/>
        <v>0</v>
      </c>
      <c r="K67" s="30">
        <f t="shared" si="3"/>
        <v>0</v>
      </c>
      <c r="L67" s="26"/>
      <c r="M67" s="31" t="str">
        <f t="shared" si="4"/>
        <v>No</v>
      </c>
      <c r="N67" s="31" t="str">
        <f t="shared" si="5"/>
        <v>Yes</v>
      </c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22">
        <v>1.0</v>
      </c>
      <c r="B68" s="41"/>
      <c r="C68" s="42"/>
      <c r="D68" s="42"/>
      <c r="E68" s="40"/>
      <c r="F68" s="27"/>
      <c r="G68" s="26"/>
      <c r="H68" s="26"/>
      <c r="I68" s="26"/>
      <c r="J68" s="29">
        <f t="shared" si="2"/>
        <v>0</v>
      </c>
      <c r="K68" s="30">
        <f t="shared" si="3"/>
        <v>0</v>
      </c>
      <c r="L68" s="26"/>
      <c r="M68" s="31" t="str">
        <f t="shared" si="4"/>
        <v>No</v>
      </c>
      <c r="N68" s="31" t="str">
        <f t="shared" si="5"/>
        <v>Yes</v>
      </c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22">
        <v>1.0</v>
      </c>
      <c r="B69" s="41"/>
      <c r="C69" s="42"/>
      <c r="D69" s="42"/>
      <c r="E69" s="40"/>
      <c r="F69" s="27"/>
      <c r="G69" s="26"/>
      <c r="H69" s="26"/>
      <c r="I69" s="26"/>
      <c r="J69" s="29">
        <f t="shared" si="2"/>
        <v>0</v>
      </c>
      <c r="K69" s="30">
        <f t="shared" si="3"/>
        <v>0</v>
      </c>
      <c r="L69" s="26"/>
      <c r="M69" s="31" t="str">
        <f t="shared" si="4"/>
        <v>No</v>
      </c>
      <c r="N69" s="31" t="str">
        <f t="shared" si="5"/>
        <v>Yes</v>
      </c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22">
        <v>1.0</v>
      </c>
      <c r="B70" s="41"/>
      <c r="C70" s="42"/>
      <c r="D70" s="42"/>
      <c r="E70" s="40"/>
      <c r="F70" s="27"/>
      <c r="G70" s="26"/>
      <c r="H70" s="26"/>
      <c r="I70" s="26"/>
      <c r="J70" s="29">
        <f t="shared" si="2"/>
        <v>0</v>
      </c>
      <c r="K70" s="30">
        <f t="shared" si="3"/>
        <v>0</v>
      </c>
      <c r="L70" s="26"/>
      <c r="M70" s="31" t="str">
        <f t="shared" si="4"/>
        <v>No</v>
      </c>
      <c r="N70" s="31" t="str">
        <f t="shared" si="5"/>
        <v>Yes</v>
      </c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22">
        <v>1.0</v>
      </c>
      <c r="B71" s="41"/>
      <c r="C71" s="42"/>
      <c r="D71" s="42"/>
      <c r="E71" s="33"/>
      <c r="F71" s="27"/>
      <c r="G71" s="26"/>
      <c r="H71" s="26"/>
      <c r="I71" s="26"/>
      <c r="J71" s="29">
        <f t="shared" si="2"/>
        <v>0</v>
      </c>
      <c r="K71" s="30">
        <f t="shared" si="3"/>
        <v>0</v>
      </c>
      <c r="L71" s="26"/>
      <c r="M71" s="31" t="str">
        <f t="shared" si="4"/>
        <v>No</v>
      </c>
      <c r="N71" s="31" t="str">
        <f t="shared" si="5"/>
        <v>Yes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22">
        <v>1.0</v>
      </c>
      <c r="B72" s="41"/>
      <c r="C72" s="42"/>
      <c r="D72" s="42"/>
      <c r="E72" s="33"/>
      <c r="F72" s="27"/>
      <c r="G72" s="26"/>
      <c r="H72" s="26"/>
      <c r="I72" s="26"/>
      <c r="J72" s="29">
        <f t="shared" si="2"/>
        <v>0</v>
      </c>
      <c r="K72" s="30">
        <f t="shared" si="3"/>
        <v>0</v>
      </c>
      <c r="L72" s="26"/>
      <c r="M72" s="31" t="str">
        <f t="shared" si="4"/>
        <v>No</v>
      </c>
      <c r="N72" s="31" t="str">
        <f t="shared" si="5"/>
        <v>Yes</v>
      </c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22">
        <v>1.0</v>
      </c>
      <c r="B73" s="41"/>
      <c r="C73" s="42"/>
      <c r="D73" s="42"/>
      <c r="E73" s="33"/>
      <c r="F73" s="27"/>
      <c r="G73" s="26"/>
      <c r="H73" s="26"/>
      <c r="I73" s="26"/>
      <c r="J73" s="29">
        <f t="shared" si="2"/>
        <v>0</v>
      </c>
      <c r="K73" s="30">
        <f t="shared" si="3"/>
        <v>0</v>
      </c>
      <c r="L73" s="26"/>
      <c r="M73" s="31" t="str">
        <f t="shared" si="4"/>
        <v>No</v>
      </c>
      <c r="N73" s="31" t="str">
        <f t="shared" si="5"/>
        <v>Yes</v>
      </c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22">
        <v>1.0</v>
      </c>
      <c r="B74" s="41"/>
      <c r="C74" s="42"/>
      <c r="D74" s="42"/>
      <c r="E74" s="33"/>
      <c r="F74" s="27"/>
      <c r="G74" s="26"/>
      <c r="H74" s="26"/>
      <c r="I74" s="26"/>
      <c r="J74" s="29">
        <f t="shared" si="2"/>
        <v>0</v>
      </c>
      <c r="K74" s="30">
        <f t="shared" si="3"/>
        <v>0</v>
      </c>
      <c r="L74" s="26"/>
      <c r="M74" s="31" t="str">
        <f t="shared" si="4"/>
        <v>No</v>
      </c>
      <c r="N74" s="31" t="str">
        <f t="shared" si="5"/>
        <v>Yes</v>
      </c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22">
        <v>1.0</v>
      </c>
      <c r="B75" s="41"/>
      <c r="C75" s="42"/>
      <c r="D75" s="42"/>
      <c r="E75" s="33"/>
      <c r="F75" s="27"/>
      <c r="G75" s="26"/>
      <c r="H75" s="26"/>
      <c r="I75" s="26"/>
      <c r="J75" s="29">
        <f t="shared" si="2"/>
        <v>0</v>
      </c>
      <c r="K75" s="30">
        <f t="shared" si="3"/>
        <v>0</v>
      </c>
      <c r="L75" s="26"/>
      <c r="M75" s="31" t="str">
        <f t="shared" si="4"/>
        <v>No</v>
      </c>
      <c r="N75" s="31" t="str">
        <f t="shared" si="5"/>
        <v>Yes</v>
      </c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22">
        <v>1.0</v>
      </c>
      <c r="B76" s="41"/>
      <c r="C76" s="42"/>
      <c r="D76" s="42"/>
      <c r="E76" s="33"/>
      <c r="F76" s="27"/>
      <c r="G76" s="26"/>
      <c r="H76" s="26"/>
      <c r="I76" s="26"/>
      <c r="J76" s="29">
        <f t="shared" si="2"/>
        <v>0</v>
      </c>
      <c r="K76" s="30">
        <f t="shared" si="3"/>
        <v>0</v>
      </c>
      <c r="L76" s="26"/>
      <c r="M76" s="31" t="str">
        <f t="shared" si="4"/>
        <v>No</v>
      </c>
      <c r="N76" s="31" t="str">
        <f t="shared" si="5"/>
        <v>Yes</v>
      </c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22">
        <v>1.0</v>
      </c>
      <c r="B77" s="41"/>
      <c r="C77" s="42"/>
      <c r="D77" s="42"/>
      <c r="E77" s="33"/>
      <c r="F77" s="27"/>
      <c r="G77" s="26"/>
      <c r="H77" s="26"/>
      <c r="I77" s="26"/>
      <c r="J77" s="29">
        <f t="shared" si="2"/>
        <v>0</v>
      </c>
      <c r="K77" s="30">
        <f t="shared" si="3"/>
        <v>0</v>
      </c>
      <c r="L77" s="26"/>
      <c r="M77" s="31" t="str">
        <f t="shared" si="4"/>
        <v>No</v>
      </c>
      <c r="N77" s="31" t="str">
        <f t="shared" si="5"/>
        <v>Yes</v>
      </c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22">
        <v>1.0</v>
      </c>
      <c r="B78" s="41"/>
      <c r="C78" s="42"/>
      <c r="D78" s="42"/>
      <c r="E78" s="33"/>
      <c r="F78" s="27"/>
      <c r="G78" s="26"/>
      <c r="H78" s="26"/>
      <c r="I78" s="26"/>
      <c r="J78" s="29">
        <f t="shared" si="2"/>
        <v>0</v>
      </c>
      <c r="K78" s="30">
        <f t="shared" si="3"/>
        <v>0</v>
      </c>
      <c r="L78" s="26"/>
      <c r="M78" s="31" t="str">
        <f t="shared" si="4"/>
        <v>No</v>
      </c>
      <c r="N78" s="31" t="str">
        <f t="shared" si="5"/>
        <v>Yes</v>
      </c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22">
        <v>1.0</v>
      </c>
      <c r="B79" s="41"/>
      <c r="C79" s="42"/>
      <c r="D79" s="42"/>
      <c r="E79" s="33"/>
      <c r="F79" s="27"/>
      <c r="G79" s="26"/>
      <c r="H79" s="26"/>
      <c r="I79" s="26"/>
      <c r="J79" s="29">
        <f t="shared" si="2"/>
        <v>0</v>
      </c>
      <c r="K79" s="30">
        <f t="shared" si="3"/>
        <v>0</v>
      </c>
      <c r="L79" s="26"/>
      <c r="M79" s="31" t="str">
        <f t="shared" si="4"/>
        <v>No</v>
      </c>
      <c r="N79" s="31" t="str">
        <f t="shared" si="5"/>
        <v>Yes</v>
      </c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22">
        <v>1.0</v>
      </c>
      <c r="B80" s="41"/>
      <c r="C80" s="42"/>
      <c r="D80" s="42"/>
      <c r="E80" s="33"/>
      <c r="F80" s="27"/>
      <c r="G80" s="26"/>
      <c r="H80" s="26"/>
      <c r="I80" s="26"/>
      <c r="J80" s="29">
        <f t="shared" si="2"/>
        <v>0</v>
      </c>
      <c r="K80" s="30">
        <f t="shared" si="3"/>
        <v>0</v>
      </c>
      <c r="L80" s="26"/>
      <c r="M80" s="31" t="str">
        <f t="shared" si="4"/>
        <v>No</v>
      </c>
      <c r="N80" s="31" t="str">
        <f t="shared" si="5"/>
        <v>Yes</v>
      </c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22">
        <v>1.0</v>
      </c>
      <c r="B81" s="41"/>
      <c r="C81" s="42"/>
      <c r="D81" s="42"/>
      <c r="E81" s="33"/>
      <c r="F81" s="27"/>
      <c r="G81" s="26"/>
      <c r="H81" s="26"/>
      <c r="I81" s="26"/>
      <c r="J81" s="29">
        <f t="shared" si="2"/>
        <v>0</v>
      </c>
      <c r="K81" s="30">
        <f t="shared" si="3"/>
        <v>0</v>
      </c>
      <c r="L81" s="26"/>
      <c r="M81" s="31" t="str">
        <f t="shared" si="4"/>
        <v>No</v>
      </c>
      <c r="N81" s="31" t="str">
        <f t="shared" si="5"/>
        <v>Yes</v>
      </c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22">
        <v>1.0</v>
      </c>
      <c r="B82" s="41"/>
      <c r="C82" s="42"/>
      <c r="D82" s="42"/>
      <c r="E82" s="33"/>
      <c r="F82" s="27"/>
      <c r="G82" s="26"/>
      <c r="H82" s="26"/>
      <c r="I82" s="26"/>
      <c r="J82" s="29">
        <f t="shared" si="2"/>
        <v>0</v>
      </c>
      <c r="K82" s="30">
        <f t="shared" si="3"/>
        <v>0</v>
      </c>
      <c r="L82" s="26"/>
      <c r="M82" s="31" t="str">
        <f t="shared" si="4"/>
        <v>No</v>
      </c>
      <c r="N82" s="31" t="str">
        <f t="shared" si="5"/>
        <v>Yes</v>
      </c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22">
        <v>1.0</v>
      </c>
      <c r="B83" s="41"/>
      <c r="C83" s="42"/>
      <c r="D83" s="42"/>
      <c r="E83" s="33"/>
      <c r="F83" s="27"/>
      <c r="G83" s="26"/>
      <c r="H83" s="26"/>
      <c r="I83" s="26"/>
      <c r="J83" s="29">
        <f t="shared" si="2"/>
        <v>0</v>
      </c>
      <c r="K83" s="30">
        <f t="shared" si="3"/>
        <v>0</v>
      </c>
      <c r="L83" s="26"/>
      <c r="M83" s="31" t="str">
        <f t="shared" si="4"/>
        <v>No</v>
      </c>
      <c r="N83" s="31" t="str">
        <f t="shared" si="5"/>
        <v>Yes</v>
      </c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22">
        <v>1.0</v>
      </c>
      <c r="B84" s="41"/>
      <c r="C84" s="42"/>
      <c r="D84" s="42"/>
      <c r="E84" s="33"/>
      <c r="F84" s="27"/>
      <c r="G84" s="26"/>
      <c r="H84" s="26"/>
      <c r="I84" s="26"/>
      <c r="J84" s="29">
        <f t="shared" si="2"/>
        <v>0</v>
      </c>
      <c r="K84" s="30">
        <f t="shared" si="3"/>
        <v>0</v>
      </c>
      <c r="L84" s="26"/>
      <c r="M84" s="31" t="str">
        <f t="shared" si="4"/>
        <v>No</v>
      </c>
      <c r="N84" s="31" t="str">
        <f t="shared" si="5"/>
        <v>Yes</v>
      </c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22">
        <v>1.0</v>
      </c>
      <c r="B85" s="41"/>
      <c r="C85" s="42"/>
      <c r="D85" s="42"/>
      <c r="E85" s="33"/>
      <c r="F85" s="27"/>
      <c r="G85" s="26"/>
      <c r="H85" s="26"/>
      <c r="I85" s="26"/>
      <c r="J85" s="29">
        <f t="shared" si="2"/>
        <v>0</v>
      </c>
      <c r="K85" s="30">
        <f t="shared" si="3"/>
        <v>0</v>
      </c>
      <c r="L85" s="26"/>
      <c r="M85" s="31" t="str">
        <f t="shared" si="4"/>
        <v>No</v>
      </c>
      <c r="N85" s="31" t="str">
        <f t="shared" si="5"/>
        <v>Yes</v>
      </c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22">
        <v>1.0</v>
      </c>
      <c r="B86" s="41"/>
      <c r="C86" s="42"/>
      <c r="D86" s="42"/>
      <c r="E86" s="33"/>
      <c r="F86" s="27"/>
      <c r="G86" s="26"/>
      <c r="H86" s="26"/>
      <c r="I86" s="26"/>
      <c r="J86" s="29">
        <f t="shared" si="2"/>
        <v>0</v>
      </c>
      <c r="K86" s="30">
        <f t="shared" si="3"/>
        <v>0</v>
      </c>
      <c r="L86" s="26"/>
      <c r="M86" s="31" t="str">
        <f t="shared" si="4"/>
        <v>No</v>
      </c>
      <c r="N86" s="31" t="str">
        <f t="shared" si="5"/>
        <v>Yes</v>
      </c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22">
        <v>1.0</v>
      </c>
      <c r="B87" s="41"/>
      <c r="C87" s="42"/>
      <c r="D87" s="42"/>
      <c r="E87" s="33"/>
      <c r="F87" s="27"/>
      <c r="G87" s="26"/>
      <c r="H87" s="26"/>
      <c r="I87" s="26"/>
      <c r="J87" s="29">
        <f t="shared" si="2"/>
        <v>0</v>
      </c>
      <c r="K87" s="30">
        <f t="shared" si="3"/>
        <v>0</v>
      </c>
      <c r="L87" s="26"/>
      <c r="M87" s="31" t="str">
        <f t="shared" si="4"/>
        <v>No</v>
      </c>
      <c r="N87" s="31" t="str">
        <f t="shared" si="5"/>
        <v>Yes</v>
      </c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22">
        <v>1.0</v>
      </c>
      <c r="B88" s="41"/>
      <c r="C88" s="42"/>
      <c r="D88" s="42"/>
      <c r="E88" s="33"/>
      <c r="F88" s="27"/>
      <c r="G88" s="26"/>
      <c r="H88" s="26"/>
      <c r="I88" s="26"/>
      <c r="J88" s="29">
        <f t="shared" si="2"/>
        <v>0</v>
      </c>
      <c r="K88" s="30">
        <f t="shared" si="3"/>
        <v>0</v>
      </c>
      <c r="L88" s="26"/>
      <c r="M88" s="31" t="str">
        <f t="shared" si="4"/>
        <v>No</v>
      </c>
      <c r="N88" s="31" t="str">
        <f t="shared" si="5"/>
        <v>Yes</v>
      </c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22">
        <v>1.0</v>
      </c>
      <c r="B89" s="41"/>
      <c r="C89" s="42"/>
      <c r="D89" s="42"/>
      <c r="E89" s="33"/>
      <c r="F89" s="27"/>
      <c r="G89" s="26"/>
      <c r="H89" s="26"/>
      <c r="I89" s="26"/>
      <c r="J89" s="29">
        <f t="shared" si="2"/>
        <v>0</v>
      </c>
      <c r="K89" s="30">
        <f t="shared" si="3"/>
        <v>0</v>
      </c>
      <c r="L89" s="26"/>
      <c r="M89" s="31" t="str">
        <f t="shared" si="4"/>
        <v>No</v>
      </c>
      <c r="N89" s="31" t="str">
        <f t="shared" si="5"/>
        <v>Yes</v>
      </c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22">
        <v>1.0</v>
      </c>
      <c r="B90" s="41"/>
      <c r="C90" s="42"/>
      <c r="D90" s="42"/>
      <c r="E90" s="33"/>
      <c r="F90" s="27"/>
      <c r="G90" s="26"/>
      <c r="H90" s="26"/>
      <c r="I90" s="26"/>
      <c r="J90" s="29">
        <f t="shared" si="2"/>
        <v>0</v>
      </c>
      <c r="K90" s="30">
        <f t="shared" si="3"/>
        <v>0</v>
      </c>
      <c r="L90" s="26"/>
      <c r="M90" s="31" t="str">
        <f t="shared" si="4"/>
        <v>No</v>
      </c>
      <c r="N90" s="31" t="str">
        <f t="shared" si="5"/>
        <v>Yes</v>
      </c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22">
        <v>1.0</v>
      </c>
      <c r="B91" s="41"/>
      <c r="C91" s="42"/>
      <c r="D91" s="42"/>
      <c r="E91" s="33"/>
      <c r="F91" s="27"/>
      <c r="G91" s="26"/>
      <c r="H91" s="26"/>
      <c r="I91" s="26"/>
      <c r="J91" s="29">
        <f t="shared" si="2"/>
        <v>0</v>
      </c>
      <c r="K91" s="30">
        <f t="shared" si="3"/>
        <v>0</v>
      </c>
      <c r="L91" s="26"/>
      <c r="M91" s="31" t="str">
        <f t="shared" si="4"/>
        <v>No</v>
      </c>
      <c r="N91" s="31" t="str">
        <f t="shared" si="5"/>
        <v>Yes</v>
      </c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22">
        <v>1.0</v>
      </c>
      <c r="B92" s="41"/>
      <c r="C92" s="42"/>
      <c r="D92" s="42"/>
      <c r="E92" s="33"/>
      <c r="F92" s="27"/>
      <c r="G92" s="26"/>
      <c r="H92" s="26"/>
      <c r="I92" s="26"/>
      <c r="J92" s="29">
        <f t="shared" si="2"/>
        <v>0</v>
      </c>
      <c r="K92" s="30">
        <f t="shared" si="3"/>
        <v>0</v>
      </c>
      <c r="L92" s="26"/>
      <c r="M92" s="31" t="str">
        <f t="shared" si="4"/>
        <v>No</v>
      </c>
      <c r="N92" s="31" t="str">
        <f t="shared" si="5"/>
        <v>Yes</v>
      </c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22">
        <v>1.0</v>
      </c>
      <c r="B93" s="41"/>
      <c r="C93" s="42"/>
      <c r="D93" s="42"/>
      <c r="E93" s="33"/>
      <c r="F93" s="27"/>
      <c r="G93" s="26"/>
      <c r="H93" s="26"/>
      <c r="I93" s="26"/>
      <c r="J93" s="29">
        <f t="shared" si="2"/>
        <v>0</v>
      </c>
      <c r="K93" s="30">
        <f t="shared" si="3"/>
        <v>0</v>
      </c>
      <c r="L93" s="26"/>
      <c r="M93" s="31" t="str">
        <f t="shared" si="4"/>
        <v>No</v>
      </c>
      <c r="N93" s="31" t="str">
        <f t="shared" si="5"/>
        <v>Yes</v>
      </c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22">
        <v>1.0</v>
      </c>
      <c r="B94" s="41"/>
      <c r="C94" s="42"/>
      <c r="D94" s="42"/>
      <c r="E94" s="33"/>
      <c r="F94" s="27"/>
      <c r="G94" s="26"/>
      <c r="H94" s="26"/>
      <c r="I94" s="26"/>
      <c r="J94" s="29">
        <f t="shared" si="2"/>
        <v>0</v>
      </c>
      <c r="K94" s="30">
        <f t="shared" si="3"/>
        <v>0</v>
      </c>
      <c r="L94" s="26"/>
      <c r="M94" s="31" t="str">
        <f t="shared" si="4"/>
        <v>No</v>
      </c>
      <c r="N94" s="31" t="str">
        <f t="shared" si="5"/>
        <v>Yes</v>
      </c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22">
        <v>1.0</v>
      </c>
      <c r="B95" s="41"/>
      <c r="C95" s="42"/>
      <c r="D95" s="42"/>
      <c r="E95" s="33"/>
      <c r="F95" s="27"/>
      <c r="G95" s="26"/>
      <c r="H95" s="26"/>
      <c r="I95" s="26"/>
      <c r="J95" s="29">
        <f t="shared" si="2"/>
        <v>0</v>
      </c>
      <c r="K95" s="30">
        <f t="shared" si="3"/>
        <v>0</v>
      </c>
      <c r="L95" s="26"/>
      <c r="M95" s="31" t="str">
        <f t="shared" si="4"/>
        <v>No</v>
      </c>
      <c r="N95" s="31" t="str">
        <f t="shared" si="5"/>
        <v>Yes</v>
      </c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22">
        <v>1.0</v>
      </c>
      <c r="B96" s="41"/>
      <c r="C96" s="42"/>
      <c r="D96" s="42"/>
      <c r="E96" s="33"/>
      <c r="F96" s="27"/>
      <c r="G96" s="26"/>
      <c r="H96" s="26"/>
      <c r="I96" s="26"/>
      <c r="J96" s="29">
        <f t="shared" si="2"/>
        <v>0</v>
      </c>
      <c r="K96" s="30">
        <f t="shared" si="3"/>
        <v>0</v>
      </c>
      <c r="L96" s="26"/>
      <c r="M96" s="31" t="str">
        <f t="shared" si="4"/>
        <v>No</v>
      </c>
      <c r="N96" s="31" t="str">
        <f t="shared" si="5"/>
        <v>Yes</v>
      </c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22">
        <v>1.0</v>
      </c>
      <c r="B97" s="41"/>
      <c r="C97" s="42"/>
      <c r="D97" s="42"/>
      <c r="E97" s="33"/>
      <c r="F97" s="27"/>
      <c r="G97" s="26"/>
      <c r="H97" s="26"/>
      <c r="I97" s="26"/>
      <c r="J97" s="29">
        <f t="shared" si="2"/>
        <v>0</v>
      </c>
      <c r="K97" s="30">
        <f t="shared" si="3"/>
        <v>0</v>
      </c>
      <c r="L97" s="26"/>
      <c r="M97" s="31" t="str">
        <f t="shared" si="4"/>
        <v>No</v>
      </c>
      <c r="N97" s="31" t="str">
        <f t="shared" si="5"/>
        <v>Yes</v>
      </c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22">
        <v>1.0</v>
      </c>
      <c r="B98" s="41"/>
      <c r="C98" s="42"/>
      <c r="D98" s="42"/>
      <c r="E98" s="33"/>
      <c r="F98" s="27"/>
      <c r="G98" s="26"/>
      <c r="H98" s="26"/>
      <c r="I98" s="26"/>
      <c r="J98" s="29">
        <f t="shared" si="2"/>
        <v>0</v>
      </c>
      <c r="K98" s="30">
        <f t="shared" si="3"/>
        <v>0</v>
      </c>
      <c r="L98" s="26"/>
      <c r="M98" s="31" t="str">
        <f t="shared" si="4"/>
        <v>No</v>
      </c>
      <c r="N98" s="31" t="str">
        <f t="shared" si="5"/>
        <v>Yes</v>
      </c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22">
        <v>1.0</v>
      </c>
      <c r="B99" s="41"/>
      <c r="C99" s="42"/>
      <c r="D99" s="42"/>
      <c r="E99" s="33"/>
      <c r="F99" s="27"/>
      <c r="G99" s="26"/>
      <c r="H99" s="26"/>
      <c r="I99" s="26"/>
      <c r="J99" s="29">
        <f t="shared" si="2"/>
        <v>0</v>
      </c>
      <c r="K99" s="30">
        <f t="shared" si="3"/>
        <v>0</v>
      </c>
      <c r="L99" s="26"/>
      <c r="M99" s="31" t="str">
        <f t="shared" si="4"/>
        <v>No</v>
      </c>
      <c r="N99" s="31" t="str">
        <f t="shared" si="5"/>
        <v>Yes</v>
      </c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22">
        <v>1.0</v>
      </c>
      <c r="B100" s="41"/>
      <c r="C100" s="42"/>
      <c r="D100" s="42"/>
      <c r="E100" s="33"/>
      <c r="F100" s="27"/>
      <c r="G100" s="26"/>
      <c r="H100" s="26"/>
      <c r="I100" s="26"/>
      <c r="J100" s="29">
        <f t="shared" si="2"/>
        <v>0</v>
      </c>
      <c r="K100" s="30">
        <f t="shared" si="3"/>
        <v>0</v>
      </c>
      <c r="L100" s="26"/>
      <c r="M100" s="31" t="str">
        <f t="shared" si="4"/>
        <v>No</v>
      </c>
      <c r="N100" s="31" t="str">
        <f t="shared" si="5"/>
        <v>Yes</v>
      </c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22">
        <v>1.0</v>
      </c>
      <c r="B101" s="41"/>
      <c r="C101" s="42"/>
      <c r="D101" s="42"/>
      <c r="E101" s="33"/>
      <c r="F101" s="27"/>
      <c r="G101" s="26"/>
      <c r="H101" s="26"/>
      <c r="I101" s="26"/>
      <c r="J101" s="29">
        <f t="shared" si="2"/>
        <v>0</v>
      </c>
      <c r="K101" s="30">
        <f t="shared" si="3"/>
        <v>0</v>
      </c>
      <c r="L101" s="26"/>
      <c r="M101" s="31" t="str">
        <f t="shared" si="4"/>
        <v>No</v>
      </c>
      <c r="N101" s="31" t="str">
        <f t="shared" si="5"/>
        <v>Yes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22">
        <v>1.0</v>
      </c>
      <c r="B102" s="41"/>
      <c r="C102" s="42"/>
      <c r="D102" s="42"/>
      <c r="E102" s="33"/>
      <c r="F102" s="27"/>
      <c r="G102" s="26"/>
      <c r="H102" s="26"/>
      <c r="I102" s="26"/>
      <c r="J102" s="29">
        <f t="shared" si="2"/>
        <v>0</v>
      </c>
      <c r="K102" s="30">
        <f t="shared" si="3"/>
        <v>0</v>
      </c>
      <c r="L102" s="26"/>
      <c r="M102" s="31" t="str">
        <f t="shared" si="4"/>
        <v>No</v>
      </c>
      <c r="N102" s="31" t="str">
        <f t="shared" si="5"/>
        <v>Yes</v>
      </c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22">
        <v>1.0</v>
      </c>
      <c r="B103" s="41"/>
      <c r="C103" s="42"/>
      <c r="D103" s="42"/>
      <c r="E103" s="33"/>
      <c r="F103" s="27"/>
      <c r="G103" s="26"/>
      <c r="H103" s="26"/>
      <c r="I103" s="26"/>
      <c r="J103" s="29">
        <f t="shared" si="2"/>
        <v>0</v>
      </c>
      <c r="K103" s="30">
        <f t="shared" si="3"/>
        <v>0</v>
      </c>
      <c r="L103" s="26"/>
      <c r="M103" s="31" t="str">
        <f t="shared" si="4"/>
        <v>No</v>
      </c>
      <c r="N103" s="31" t="str">
        <f t="shared" si="5"/>
        <v>Yes</v>
      </c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22">
        <v>1.0</v>
      </c>
      <c r="B104" s="41"/>
      <c r="C104" s="42"/>
      <c r="D104" s="42"/>
      <c r="E104" s="33"/>
      <c r="F104" s="27"/>
      <c r="G104" s="26"/>
      <c r="H104" s="26"/>
      <c r="I104" s="26"/>
      <c r="J104" s="29">
        <f t="shared" si="2"/>
        <v>0</v>
      </c>
      <c r="K104" s="30">
        <f t="shared" si="3"/>
        <v>0</v>
      </c>
      <c r="L104" s="26"/>
      <c r="M104" s="31" t="str">
        <f t="shared" si="4"/>
        <v>No</v>
      </c>
      <c r="N104" s="31" t="str">
        <f t="shared" si="5"/>
        <v>Yes</v>
      </c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22">
        <v>1.0</v>
      </c>
      <c r="B105" s="41"/>
      <c r="C105" s="42"/>
      <c r="D105" s="42"/>
      <c r="E105" s="33"/>
      <c r="F105" s="27"/>
      <c r="G105" s="26"/>
      <c r="H105" s="26"/>
      <c r="I105" s="26"/>
      <c r="J105" s="29">
        <f t="shared" si="2"/>
        <v>0</v>
      </c>
      <c r="K105" s="30">
        <f t="shared" si="3"/>
        <v>0</v>
      </c>
      <c r="L105" s="26"/>
      <c r="M105" s="31" t="str">
        <f t="shared" si="4"/>
        <v>No</v>
      </c>
      <c r="N105" s="31" t="str">
        <f t="shared" si="5"/>
        <v>Yes</v>
      </c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22">
        <v>1.0</v>
      </c>
      <c r="B106" s="41"/>
      <c r="C106" s="42"/>
      <c r="D106" s="42"/>
      <c r="E106" s="33"/>
      <c r="F106" s="27"/>
      <c r="G106" s="26"/>
      <c r="H106" s="26"/>
      <c r="I106" s="26"/>
      <c r="J106" s="29">
        <f t="shared" si="2"/>
        <v>0</v>
      </c>
      <c r="K106" s="30">
        <f t="shared" si="3"/>
        <v>0</v>
      </c>
      <c r="L106" s="26"/>
      <c r="M106" s="31" t="str">
        <f t="shared" si="4"/>
        <v>No</v>
      </c>
      <c r="N106" s="31" t="str">
        <f t="shared" si="5"/>
        <v>Yes</v>
      </c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22">
        <v>1.0</v>
      </c>
      <c r="B107" s="41"/>
      <c r="C107" s="42"/>
      <c r="D107" s="42"/>
      <c r="E107" s="33"/>
      <c r="F107" s="27"/>
      <c r="G107" s="26"/>
      <c r="H107" s="26"/>
      <c r="I107" s="26"/>
      <c r="J107" s="29">
        <f t="shared" si="2"/>
        <v>0</v>
      </c>
      <c r="K107" s="30">
        <f t="shared" si="3"/>
        <v>0</v>
      </c>
      <c r="L107" s="26"/>
      <c r="M107" s="31" t="str">
        <f t="shared" si="4"/>
        <v>No</v>
      </c>
      <c r="N107" s="31" t="str">
        <f t="shared" si="5"/>
        <v>Yes</v>
      </c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22">
        <v>1.0</v>
      </c>
      <c r="B108" s="41"/>
      <c r="C108" s="42"/>
      <c r="D108" s="42"/>
      <c r="E108" s="33"/>
      <c r="F108" s="27"/>
      <c r="G108" s="26"/>
      <c r="H108" s="26"/>
      <c r="I108" s="26"/>
      <c r="J108" s="29">
        <f t="shared" si="2"/>
        <v>0</v>
      </c>
      <c r="K108" s="30">
        <f t="shared" si="3"/>
        <v>0</v>
      </c>
      <c r="L108" s="26"/>
      <c r="M108" s="31" t="str">
        <f t="shared" si="4"/>
        <v>No</v>
      </c>
      <c r="N108" s="31" t="str">
        <f t="shared" si="5"/>
        <v>Yes</v>
      </c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22">
        <v>1.0</v>
      </c>
      <c r="B109" s="41"/>
      <c r="C109" s="42"/>
      <c r="D109" s="42"/>
      <c r="E109" s="33"/>
      <c r="F109" s="27"/>
      <c r="G109" s="26"/>
      <c r="H109" s="26"/>
      <c r="I109" s="26"/>
      <c r="J109" s="29">
        <f t="shared" si="2"/>
        <v>0</v>
      </c>
      <c r="K109" s="30">
        <f t="shared" si="3"/>
        <v>0</v>
      </c>
      <c r="L109" s="26"/>
      <c r="M109" s="31" t="str">
        <f t="shared" si="4"/>
        <v>No</v>
      </c>
      <c r="N109" s="31" t="str">
        <f t="shared" si="5"/>
        <v>Yes</v>
      </c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22">
        <v>1.0</v>
      </c>
      <c r="B110" s="41"/>
      <c r="C110" s="42"/>
      <c r="D110" s="42"/>
      <c r="E110" s="33"/>
      <c r="F110" s="27"/>
      <c r="G110" s="26"/>
      <c r="H110" s="26"/>
      <c r="I110" s="26"/>
      <c r="J110" s="29">
        <f t="shared" si="2"/>
        <v>0</v>
      </c>
      <c r="K110" s="30">
        <f t="shared" si="3"/>
        <v>0</v>
      </c>
      <c r="L110" s="26"/>
      <c r="M110" s="31" t="str">
        <f t="shared" si="4"/>
        <v>No</v>
      </c>
      <c r="N110" s="31" t="str">
        <f t="shared" si="5"/>
        <v>Yes</v>
      </c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22">
        <v>1.0</v>
      </c>
      <c r="B111" s="41"/>
      <c r="C111" s="42"/>
      <c r="D111" s="42"/>
      <c r="E111" s="33"/>
      <c r="F111" s="27"/>
      <c r="G111" s="26"/>
      <c r="H111" s="26"/>
      <c r="I111" s="26"/>
      <c r="J111" s="29">
        <f t="shared" si="2"/>
        <v>0</v>
      </c>
      <c r="K111" s="30">
        <f t="shared" si="3"/>
        <v>0</v>
      </c>
      <c r="L111" s="26"/>
      <c r="M111" s="31" t="str">
        <f t="shared" si="4"/>
        <v>No</v>
      </c>
      <c r="N111" s="31" t="str">
        <f t="shared" si="5"/>
        <v>Yes</v>
      </c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22">
        <v>1.0</v>
      </c>
      <c r="B112" s="41"/>
      <c r="C112" s="42"/>
      <c r="D112" s="42"/>
      <c r="E112" s="33"/>
      <c r="F112" s="27"/>
      <c r="G112" s="26"/>
      <c r="H112" s="26"/>
      <c r="I112" s="26"/>
      <c r="J112" s="29">
        <f t="shared" si="2"/>
        <v>0</v>
      </c>
      <c r="K112" s="30">
        <f t="shared" si="3"/>
        <v>0</v>
      </c>
      <c r="L112" s="26"/>
      <c r="M112" s="31" t="str">
        <f t="shared" si="4"/>
        <v>No</v>
      </c>
      <c r="N112" s="31" t="str">
        <f t="shared" si="5"/>
        <v>Yes</v>
      </c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22">
        <v>1.0</v>
      </c>
      <c r="B113" s="41"/>
      <c r="C113" s="42"/>
      <c r="D113" s="42"/>
      <c r="E113" s="33"/>
      <c r="F113" s="27"/>
      <c r="G113" s="26"/>
      <c r="H113" s="26"/>
      <c r="I113" s="26"/>
      <c r="J113" s="29">
        <f t="shared" si="2"/>
        <v>0</v>
      </c>
      <c r="K113" s="30">
        <f t="shared" si="3"/>
        <v>0</v>
      </c>
      <c r="L113" s="26"/>
      <c r="M113" s="31" t="str">
        <f t="shared" si="4"/>
        <v>No</v>
      </c>
      <c r="N113" s="31" t="str">
        <f t="shared" si="5"/>
        <v>Yes</v>
      </c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22">
        <v>1.0</v>
      </c>
      <c r="B114" s="41"/>
      <c r="C114" s="42"/>
      <c r="D114" s="42"/>
      <c r="E114" s="33"/>
      <c r="F114" s="27"/>
      <c r="G114" s="26"/>
      <c r="H114" s="26"/>
      <c r="I114" s="26"/>
      <c r="J114" s="29">
        <f t="shared" si="2"/>
        <v>0</v>
      </c>
      <c r="K114" s="30">
        <f t="shared" si="3"/>
        <v>0</v>
      </c>
      <c r="L114" s="26"/>
      <c r="M114" s="31" t="str">
        <f t="shared" si="4"/>
        <v>No</v>
      </c>
      <c r="N114" s="31" t="str">
        <f t="shared" si="5"/>
        <v>Yes</v>
      </c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22">
        <v>1.0</v>
      </c>
      <c r="B115" s="41"/>
      <c r="C115" s="42"/>
      <c r="D115" s="42"/>
      <c r="E115" s="33"/>
      <c r="F115" s="27"/>
      <c r="G115" s="26"/>
      <c r="H115" s="26"/>
      <c r="I115" s="26"/>
      <c r="J115" s="29">
        <f t="shared" si="2"/>
        <v>0</v>
      </c>
      <c r="K115" s="30">
        <f t="shared" si="3"/>
        <v>0</v>
      </c>
      <c r="L115" s="26"/>
      <c r="M115" s="31" t="str">
        <f t="shared" si="4"/>
        <v>No</v>
      </c>
      <c r="N115" s="31" t="str">
        <f t="shared" si="5"/>
        <v>Yes</v>
      </c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22">
        <v>1.0</v>
      </c>
      <c r="B116" s="41"/>
      <c r="C116" s="42"/>
      <c r="D116" s="42"/>
      <c r="E116" s="33"/>
      <c r="F116" s="27"/>
      <c r="G116" s="26"/>
      <c r="H116" s="26"/>
      <c r="I116" s="26"/>
      <c r="J116" s="29">
        <f t="shared" si="2"/>
        <v>0</v>
      </c>
      <c r="K116" s="30">
        <f t="shared" si="3"/>
        <v>0</v>
      </c>
      <c r="L116" s="26"/>
      <c r="M116" s="31" t="str">
        <f t="shared" si="4"/>
        <v>No</v>
      </c>
      <c r="N116" s="31" t="str">
        <f t="shared" si="5"/>
        <v>Yes</v>
      </c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22">
        <v>1.0</v>
      </c>
      <c r="B117" s="41"/>
      <c r="C117" s="42"/>
      <c r="D117" s="42"/>
      <c r="E117" s="33"/>
      <c r="F117" s="27"/>
      <c r="G117" s="26"/>
      <c r="H117" s="26"/>
      <c r="I117" s="26"/>
      <c r="J117" s="29">
        <f t="shared" si="2"/>
        <v>0</v>
      </c>
      <c r="K117" s="30">
        <f t="shared" si="3"/>
        <v>0</v>
      </c>
      <c r="L117" s="26"/>
      <c r="M117" s="31" t="str">
        <f t="shared" si="4"/>
        <v>No</v>
      </c>
      <c r="N117" s="31" t="str">
        <f t="shared" si="5"/>
        <v>Yes</v>
      </c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22">
        <v>1.0</v>
      </c>
      <c r="B118" s="41"/>
      <c r="C118" s="42"/>
      <c r="D118" s="42"/>
      <c r="E118" s="33"/>
      <c r="F118" s="27"/>
      <c r="G118" s="26"/>
      <c r="H118" s="26"/>
      <c r="I118" s="26"/>
      <c r="J118" s="29">
        <f t="shared" si="2"/>
        <v>0</v>
      </c>
      <c r="K118" s="30">
        <f t="shared" si="3"/>
        <v>0</v>
      </c>
      <c r="L118" s="26"/>
      <c r="M118" s="31" t="str">
        <f t="shared" si="4"/>
        <v>No</v>
      </c>
      <c r="N118" s="31" t="str">
        <f t="shared" si="5"/>
        <v>Yes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22">
        <v>1.0</v>
      </c>
      <c r="B119" s="41"/>
      <c r="C119" s="42"/>
      <c r="D119" s="42"/>
      <c r="E119" s="33"/>
      <c r="F119" s="27"/>
      <c r="G119" s="26"/>
      <c r="H119" s="26"/>
      <c r="I119" s="26"/>
      <c r="J119" s="29">
        <f t="shared" si="2"/>
        <v>0</v>
      </c>
      <c r="K119" s="30">
        <f t="shared" si="3"/>
        <v>0</v>
      </c>
      <c r="L119" s="26"/>
      <c r="M119" s="31" t="str">
        <f t="shared" si="4"/>
        <v>No</v>
      </c>
      <c r="N119" s="31" t="str">
        <f t="shared" si="5"/>
        <v>Yes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22">
        <v>1.0</v>
      </c>
      <c r="B120" s="41"/>
      <c r="C120" s="42"/>
      <c r="D120" s="42"/>
      <c r="E120" s="33"/>
      <c r="F120" s="27"/>
      <c r="G120" s="26"/>
      <c r="H120" s="26"/>
      <c r="I120" s="26"/>
      <c r="J120" s="29">
        <f t="shared" si="2"/>
        <v>0</v>
      </c>
      <c r="K120" s="30">
        <f t="shared" si="3"/>
        <v>0</v>
      </c>
      <c r="L120" s="26"/>
      <c r="M120" s="31" t="str">
        <f t="shared" si="4"/>
        <v>No</v>
      </c>
      <c r="N120" s="31" t="str">
        <f t="shared" si="5"/>
        <v>Yes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22">
        <v>1.0</v>
      </c>
      <c r="B121" s="41"/>
      <c r="C121" s="42"/>
      <c r="D121" s="42"/>
      <c r="E121" s="33"/>
      <c r="F121" s="27"/>
      <c r="G121" s="26"/>
      <c r="H121" s="26"/>
      <c r="I121" s="26"/>
      <c r="J121" s="29">
        <f t="shared" si="2"/>
        <v>0</v>
      </c>
      <c r="K121" s="30">
        <f t="shared" si="3"/>
        <v>0</v>
      </c>
      <c r="L121" s="26"/>
      <c r="M121" s="31" t="str">
        <f t="shared" si="4"/>
        <v>No</v>
      </c>
      <c r="N121" s="31" t="str">
        <f t="shared" si="5"/>
        <v>Yes</v>
      </c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22">
        <v>1.0</v>
      </c>
      <c r="B122" s="41"/>
      <c r="C122" s="42"/>
      <c r="D122" s="42"/>
      <c r="E122" s="33"/>
      <c r="F122" s="27"/>
      <c r="G122" s="26"/>
      <c r="H122" s="26"/>
      <c r="I122" s="26"/>
      <c r="J122" s="29">
        <f t="shared" si="2"/>
        <v>0</v>
      </c>
      <c r="K122" s="30">
        <f t="shared" si="3"/>
        <v>0</v>
      </c>
      <c r="L122" s="26"/>
      <c r="M122" s="31" t="str">
        <f t="shared" si="4"/>
        <v>No</v>
      </c>
      <c r="N122" s="31" t="str">
        <f t="shared" si="5"/>
        <v>Yes</v>
      </c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22">
        <v>1.0</v>
      </c>
      <c r="B123" s="41"/>
      <c r="C123" s="42"/>
      <c r="D123" s="42"/>
      <c r="E123" s="33"/>
      <c r="F123" s="27"/>
      <c r="G123" s="26"/>
      <c r="H123" s="26"/>
      <c r="I123" s="26"/>
      <c r="J123" s="29">
        <f t="shared" si="2"/>
        <v>0</v>
      </c>
      <c r="K123" s="30">
        <f t="shared" si="3"/>
        <v>0</v>
      </c>
      <c r="L123" s="26"/>
      <c r="M123" s="31" t="str">
        <f t="shared" si="4"/>
        <v>No</v>
      </c>
      <c r="N123" s="31" t="str">
        <f t="shared" si="5"/>
        <v>Yes</v>
      </c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22">
        <v>1.0</v>
      </c>
      <c r="B124" s="41"/>
      <c r="C124" s="42"/>
      <c r="D124" s="42"/>
      <c r="E124" s="33"/>
      <c r="F124" s="27"/>
      <c r="G124" s="26"/>
      <c r="H124" s="26"/>
      <c r="I124" s="26"/>
      <c r="J124" s="29">
        <f t="shared" si="2"/>
        <v>0</v>
      </c>
      <c r="K124" s="30">
        <f t="shared" si="3"/>
        <v>0</v>
      </c>
      <c r="L124" s="26"/>
      <c r="M124" s="31" t="str">
        <f t="shared" si="4"/>
        <v>No</v>
      </c>
      <c r="N124" s="31" t="str">
        <f t="shared" si="5"/>
        <v>Yes</v>
      </c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22">
        <v>1.0</v>
      </c>
      <c r="B125" s="41"/>
      <c r="C125" s="42"/>
      <c r="D125" s="42"/>
      <c r="E125" s="33"/>
      <c r="F125" s="27"/>
      <c r="G125" s="26"/>
      <c r="H125" s="26"/>
      <c r="I125" s="26"/>
      <c r="J125" s="29">
        <f t="shared" si="2"/>
        <v>0</v>
      </c>
      <c r="K125" s="30">
        <f t="shared" si="3"/>
        <v>0</v>
      </c>
      <c r="L125" s="26"/>
      <c r="M125" s="31" t="str">
        <f t="shared" si="4"/>
        <v>No</v>
      </c>
      <c r="N125" s="31" t="str">
        <f t="shared" si="5"/>
        <v>Yes</v>
      </c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22">
        <v>1.0</v>
      </c>
      <c r="B126" s="41"/>
      <c r="C126" s="42"/>
      <c r="D126" s="42"/>
      <c r="E126" s="33"/>
      <c r="F126" s="27"/>
      <c r="G126" s="26"/>
      <c r="H126" s="26"/>
      <c r="I126" s="26"/>
      <c r="J126" s="29">
        <f t="shared" si="2"/>
        <v>0</v>
      </c>
      <c r="K126" s="30">
        <f t="shared" si="3"/>
        <v>0</v>
      </c>
      <c r="L126" s="26"/>
      <c r="M126" s="31" t="str">
        <f t="shared" si="4"/>
        <v>No</v>
      </c>
      <c r="N126" s="31" t="str">
        <f t="shared" si="5"/>
        <v>Yes</v>
      </c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22">
        <v>1.0</v>
      </c>
      <c r="B127" s="41"/>
      <c r="C127" s="42"/>
      <c r="D127" s="42"/>
      <c r="E127" s="33"/>
      <c r="F127" s="27"/>
      <c r="G127" s="26"/>
      <c r="H127" s="26"/>
      <c r="I127" s="26"/>
      <c r="J127" s="29">
        <f t="shared" si="2"/>
        <v>0</v>
      </c>
      <c r="K127" s="30">
        <f t="shared" si="3"/>
        <v>0</v>
      </c>
      <c r="L127" s="26"/>
      <c r="M127" s="31" t="str">
        <f t="shared" si="4"/>
        <v>No</v>
      </c>
      <c r="N127" s="31" t="str">
        <f t="shared" si="5"/>
        <v>Yes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22">
        <v>1.0</v>
      </c>
      <c r="B128" s="41"/>
      <c r="C128" s="42"/>
      <c r="D128" s="42"/>
      <c r="E128" s="33"/>
      <c r="F128" s="27"/>
      <c r="G128" s="26"/>
      <c r="H128" s="26"/>
      <c r="I128" s="26"/>
      <c r="J128" s="29">
        <f t="shared" si="2"/>
        <v>0</v>
      </c>
      <c r="K128" s="30">
        <f t="shared" si="3"/>
        <v>0</v>
      </c>
      <c r="L128" s="26"/>
      <c r="M128" s="31" t="str">
        <f t="shared" si="4"/>
        <v>No</v>
      </c>
      <c r="N128" s="31" t="str">
        <f t="shared" si="5"/>
        <v>Yes</v>
      </c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22">
        <v>1.0</v>
      </c>
      <c r="B129" s="41"/>
      <c r="C129" s="42"/>
      <c r="D129" s="42"/>
      <c r="E129" s="33"/>
      <c r="F129" s="27"/>
      <c r="G129" s="26"/>
      <c r="H129" s="26"/>
      <c r="I129" s="26"/>
      <c r="J129" s="29">
        <f t="shared" si="2"/>
        <v>0</v>
      </c>
      <c r="K129" s="30">
        <f t="shared" si="3"/>
        <v>0</v>
      </c>
      <c r="L129" s="26"/>
      <c r="M129" s="31" t="str">
        <f t="shared" si="4"/>
        <v>No</v>
      </c>
      <c r="N129" s="31" t="str">
        <f t="shared" si="5"/>
        <v>Yes</v>
      </c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22">
        <v>1.0</v>
      </c>
      <c r="B130" s="41"/>
      <c r="C130" s="42"/>
      <c r="D130" s="42"/>
      <c r="E130" s="33"/>
      <c r="F130" s="27"/>
      <c r="G130" s="26"/>
      <c r="H130" s="26"/>
      <c r="I130" s="26"/>
      <c r="J130" s="29">
        <f t="shared" si="2"/>
        <v>0</v>
      </c>
      <c r="K130" s="30">
        <f t="shared" si="3"/>
        <v>0</v>
      </c>
      <c r="L130" s="26"/>
      <c r="M130" s="31" t="str">
        <f t="shared" si="4"/>
        <v>No</v>
      </c>
      <c r="N130" s="31" t="str">
        <f t="shared" si="5"/>
        <v>Yes</v>
      </c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22">
        <v>1.0</v>
      </c>
      <c r="B131" s="41"/>
      <c r="C131" s="42"/>
      <c r="D131" s="42"/>
      <c r="E131" s="33"/>
      <c r="F131" s="27"/>
      <c r="G131" s="26"/>
      <c r="H131" s="26"/>
      <c r="I131" s="26"/>
      <c r="J131" s="29">
        <f t="shared" si="2"/>
        <v>0</v>
      </c>
      <c r="K131" s="30">
        <f t="shared" si="3"/>
        <v>0</v>
      </c>
      <c r="L131" s="26"/>
      <c r="M131" s="31" t="str">
        <f t="shared" si="4"/>
        <v>No</v>
      </c>
      <c r="N131" s="31" t="str">
        <f t="shared" si="5"/>
        <v>Yes</v>
      </c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22">
        <v>1.0</v>
      </c>
      <c r="B132" s="41"/>
      <c r="C132" s="42"/>
      <c r="D132" s="42"/>
      <c r="E132" s="33"/>
      <c r="F132" s="27"/>
      <c r="G132" s="26"/>
      <c r="H132" s="26"/>
      <c r="I132" s="26"/>
      <c r="J132" s="29">
        <f t="shared" si="2"/>
        <v>0</v>
      </c>
      <c r="K132" s="30">
        <f t="shared" si="3"/>
        <v>0</v>
      </c>
      <c r="L132" s="26"/>
      <c r="M132" s="31" t="str">
        <f t="shared" si="4"/>
        <v>No</v>
      </c>
      <c r="N132" s="31" t="str">
        <f t="shared" si="5"/>
        <v>Yes</v>
      </c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22">
        <v>1.0</v>
      </c>
      <c r="B133" s="41"/>
      <c r="C133" s="42"/>
      <c r="D133" s="42"/>
      <c r="E133" s="33"/>
      <c r="F133" s="27"/>
      <c r="G133" s="26"/>
      <c r="H133" s="26"/>
      <c r="I133" s="26"/>
      <c r="J133" s="29">
        <f t="shared" si="2"/>
        <v>0</v>
      </c>
      <c r="K133" s="30">
        <f t="shared" si="3"/>
        <v>0</v>
      </c>
      <c r="L133" s="26"/>
      <c r="M133" s="31" t="str">
        <f t="shared" si="4"/>
        <v>No</v>
      </c>
      <c r="N133" s="31" t="str">
        <f t="shared" si="5"/>
        <v>Yes</v>
      </c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22">
        <v>1.0</v>
      </c>
      <c r="B134" s="41"/>
      <c r="C134" s="42"/>
      <c r="D134" s="42"/>
      <c r="E134" s="33"/>
      <c r="F134" s="27"/>
      <c r="G134" s="26"/>
      <c r="H134" s="26"/>
      <c r="I134" s="26"/>
      <c r="J134" s="29">
        <f t="shared" si="2"/>
        <v>0</v>
      </c>
      <c r="K134" s="30">
        <f t="shared" si="3"/>
        <v>0</v>
      </c>
      <c r="L134" s="26"/>
      <c r="M134" s="31" t="str">
        <f t="shared" si="4"/>
        <v>No</v>
      </c>
      <c r="N134" s="31" t="str">
        <f t="shared" si="5"/>
        <v>Yes</v>
      </c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22">
        <v>1.0</v>
      </c>
      <c r="B135" s="41"/>
      <c r="C135" s="42"/>
      <c r="D135" s="42"/>
      <c r="E135" s="33"/>
      <c r="F135" s="27"/>
      <c r="G135" s="26"/>
      <c r="H135" s="26"/>
      <c r="I135" s="26"/>
      <c r="J135" s="29">
        <f t="shared" si="2"/>
        <v>0</v>
      </c>
      <c r="K135" s="30">
        <f t="shared" si="3"/>
        <v>0</v>
      </c>
      <c r="L135" s="26"/>
      <c r="M135" s="31" t="str">
        <f t="shared" si="4"/>
        <v>No</v>
      </c>
      <c r="N135" s="31" t="str">
        <f t="shared" si="5"/>
        <v>Yes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22">
        <v>1.0</v>
      </c>
      <c r="B136" s="41"/>
      <c r="C136" s="42"/>
      <c r="D136" s="42"/>
      <c r="E136" s="33"/>
      <c r="F136" s="27"/>
      <c r="G136" s="26"/>
      <c r="H136" s="26"/>
      <c r="I136" s="26"/>
      <c r="J136" s="29">
        <f t="shared" si="2"/>
        <v>0</v>
      </c>
      <c r="K136" s="30">
        <f t="shared" si="3"/>
        <v>0</v>
      </c>
      <c r="L136" s="26"/>
      <c r="M136" s="31" t="str">
        <f t="shared" si="4"/>
        <v>No</v>
      </c>
      <c r="N136" s="31" t="str">
        <f t="shared" si="5"/>
        <v>Yes</v>
      </c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22">
        <v>1.0</v>
      </c>
      <c r="B137" s="41"/>
      <c r="C137" s="42"/>
      <c r="D137" s="42"/>
      <c r="E137" s="33"/>
      <c r="F137" s="27"/>
      <c r="G137" s="26"/>
      <c r="H137" s="26"/>
      <c r="I137" s="26"/>
      <c r="J137" s="29">
        <f t="shared" si="2"/>
        <v>0</v>
      </c>
      <c r="K137" s="30">
        <f t="shared" si="3"/>
        <v>0</v>
      </c>
      <c r="L137" s="26"/>
      <c r="M137" s="31" t="str">
        <f t="shared" si="4"/>
        <v>No</v>
      </c>
      <c r="N137" s="31" t="str">
        <f t="shared" si="5"/>
        <v>Yes</v>
      </c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22">
        <v>1.0</v>
      </c>
      <c r="B138" s="41"/>
      <c r="C138" s="42"/>
      <c r="D138" s="42"/>
      <c r="E138" s="33"/>
      <c r="F138" s="27"/>
      <c r="G138" s="26"/>
      <c r="H138" s="26"/>
      <c r="I138" s="26"/>
      <c r="J138" s="29">
        <f t="shared" si="2"/>
        <v>0</v>
      </c>
      <c r="K138" s="30">
        <f t="shared" si="3"/>
        <v>0</v>
      </c>
      <c r="L138" s="26"/>
      <c r="M138" s="31" t="str">
        <f t="shared" si="4"/>
        <v>No</v>
      </c>
      <c r="N138" s="31" t="str">
        <f t="shared" si="5"/>
        <v>Yes</v>
      </c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22">
        <v>1.0</v>
      </c>
      <c r="B139" s="41"/>
      <c r="C139" s="42"/>
      <c r="D139" s="42"/>
      <c r="E139" s="33"/>
      <c r="F139" s="27"/>
      <c r="G139" s="26"/>
      <c r="H139" s="26"/>
      <c r="I139" s="26"/>
      <c r="J139" s="29">
        <f t="shared" si="2"/>
        <v>0</v>
      </c>
      <c r="K139" s="30">
        <f t="shared" si="3"/>
        <v>0</v>
      </c>
      <c r="L139" s="26"/>
      <c r="M139" s="31" t="str">
        <f t="shared" si="4"/>
        <v>No</v>
      </c>
      <c r="N139" s="31" t="str">
        <f t="shared" si="5"/>
        <v>Yes</v>
      </c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22">
        <v>1.0</v>
      </c>
      <c r="B140" s="41"/>
      <c r="C140" s="42"/>
      <c r="D140" s="42"/>
      <c r="E140" s="33"/>
      <c r="F140" s="27"/>
      <c r="G140" s="26"/>
      <c r="H140" s="26"/>
      <c r="I140" s="26"/>
      <c r="J140" s="29">
        <f t="shared" si="2"/>
        <v>0</v>
      </c>
      <c r="K140" s="30">
        <f t="shared" si="3"/>
        <v>0</v>
      </c>
      <c r="L140" s="26"/>
      <c r="M140" s="31" t="str">
        <f t="shared" si="4"/>
        <v>No</v>
      </c>
      <c r="N140" s="31" t="str">
        <f t="shared" si="5"/>
        <v>Yes</v>
      </c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22">
        <v>1.0</v>
      </c>
      <c r="B141" s="41"/>
      <c r="C141" s="42"/>
      <c r="D141" s="42"/>
      <c r="E141" s="33"/>
      <c r="F141" s="27"/>
      <c r="G141" s="26"/>
      <c r="H141" s="26"/>
      <c r="I141" s="26"/>
      <c r="J141" s="29">
        <f t="shared" si="2"/>
        <v>0</v>
      </c>
      <c r="K141" s="30">
        <f t="shared" si="3"/>
        <v>0</v>
      </c>
      <c r="L141" s="26"/>
      <c r="M141" s="31" t="str">
        <f t="shared" si="4"/>
        <v>No</v>
      </c>
      <c r="N141" s="31" t="str">
        <f t="shared" si="5"/>
        <v>Yes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22">
        <v>1.0</v>
      </c>
      <c r="B142" s="41"/>
      <c r="C142" s="42"/>
      <c r="D142" s="42"/>
      <c r="E142" s="33"/>
      <c r="F142" s="27"/>
      <c r="G142" s="26"/>
      <c r="H142" s="26"/>
      <c r="I142" s="26"/>
      <c r="J142" s="29">
        <f t="shared" si="2"/>
        <v>0</v>
      </c>
      <c r="K142" s="30">
        <f t="shared" si="3"/>
        <v>0</v>
      </c>
      <c r="L142" s="26"/>
      <c r="M142" s="31" t="str">
        <f t="shared" si="4"/>
        <v>No</v>
      </c>
      <c r="N142" s="31" t="str">
        <f t="shared" si="5"/>
        <v>Yes</v>
      </c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22">
        <v>1.0</v>
      </c>
      <c r="B143" s="41"/>
      <c r="C143" s="42"/>
      <c r="D143" s="42"/>
      <c r="E143" s="33"/>
      <c r="F143" s="27"/>
      <c r="G143" s="26"/>
      <c r="H143" s="26"/>
      <c r="I143" s="26"/>
      <c r="J143" s="29">
        <f t="shared" si="2"/>
        <v>0</v>
      </c>
      <c r="K143" s="30">
        <f t="shared" si="3"/>
        <v>0</v>
      </c>
      <c r="L143" s="26"/>
      <c r="M143" s="31" t="str">
        <f t="shared" si="4"/>
        <v>No</v>
      </c>
      <c r="N143" s="31" t="str">
        <f t="shared" si="5"/>
        <v>Yes</v>
      </c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22">
        <v>1.0</v>
      </c>
      <c r="B144" s="41"/>
      <c r="C144" s="42"/>
      <c r="D144" s="42"/>
      <c r="E144" s="33"/>
      <c r="F144" s="27"/>
      <c r="G144" s="26"/>
      <c r="H144" s="26"/>
      <c r="I144" s="26"/>
      <c r="J144" s="29">
        <f t="shared" si="2"/>
        <v>0</v>
      </c>
      <c r="K144" s="30">
        <f t="shared" si="3"/>
        <v>0</v>
      </c>
      <c r="L144" s="26"/>
      <c r="M144" s="31" t="str">
        <f t="shared" si="4"/>
        <v>No</v>
      </c>
      <c r="N144" s="31" t="str">
        <f t="shared" si="5"/>
        <v>Yes</v>
      </c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22">
        <v>1.0</v>
      </c>
      <c r="B145" s="41"/>
      <c r="C145" s="42"/>
      <c r="D145" s="42"/>
      <c r="E145" s="33"/>
      <c r="F145" s="27"/>
      <c r="G145" s="26"/>
      <c r="H145" s="26"/>
      <c r="I145" s="26"/>
      <c r="J145" s="29">
        <f t="shared" si="2"/>
        <v>0</v>
      </c>
      <c r="K145" s="30">
        <f t="shared" si="3"/>
        <v>0</v>
      </c>
      <c r="L145" s="26"/>
      <c r="M145" s="31" t="str">
        <f t="shared" si="4"/>
        <v>No</v>
      </c>
      <c r="N145" s="31" t="str">
        <f t="shared" si="5"/>
        <v>Yes</v>
      </c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22">
        <v>1.0</v>
      </c>
      <c r="B146" s="41"/>
      <c r="C146" s="42"/>
      <c r="D146" s="42"/>
      <c r="E146" s="33"/>
      <c r="F146" s="27"/>
      <c r="G146" s="26"/>
      <c r="H146" s="26"/>
      <c r="I146" s="26"/>
      <c r="J146" s="29">
        <f t="shared" si="2"/>
        <v>0</v>
      </c>
      <c r="K146" s="30">
        <f t="shared" si="3"/>
        <v>0</v>
      </c>
      <c r="L146" s="26"/>
      <c r="M146" s="31" t="str">
        <f t="shared" si="4"/>
        <v>No</v>
      </c>
      <c r="N146" s="31" t="str">
        <f t="shared" si="5"/>
        <v>Yes</v>
      </c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22">
        <v>1.0</v>
      </c>
      <c r="B147" s="41"/>
      <c r="C147" s="42"/>
      <c r="D147" s="42"/>
      <c r="E147" s="33"/>
      <c r="F147" s="27"/>
      <c r="G147" s="26"/>
      <c r="H147" s="26"/>
      <c r="I147" s="26"/>
      <c r="J147" s="29">
        <f t="shared" si="2"/>
        <v>0</v>
      </c>
      <c r="K147" s="30">
        <f t="shared" si="3"/>
        <v>0</v>
      </c>
      <c r="L147" s="26"/>
      <c r="M147" s="31" t="str">
        <f t="shared" si="4"/>
        <v>No</v>
      </c>
      <c r="N147" s="31" t="str">
        <f t="shared" si="5"/>
        <v>Yes</v>
      </c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22">
        <v>1.0</v>
      </c>
      <c r="B148" s="41"/>
      <c r="C148" s="42"/>
      <c r="D148" s="42"/>
      <c r="E148" s="33"/>
      <c r="F148" s="27"/>
      <c r="G148" s="26"/>
      <c r="H148" s="26"/>
      <c r="I148" s="26"/>
      <c r="J148" s="29">
        <f t="shared" si="2"/>
        <v>0</v>
      </c>
      <c r="K148" s="30">
        <f t="shared" si="3"/>
        <v>0</v>
      </c>
      <c r="L148" s="26"/>
      <c r="M148" s="31" t="str">
        <f t="shared" si="4"/>
        <v>No</v>
      </c>
      <c r="N148" s="31" t="str">
        <f t="shared" si="5"/>
        <v>Yes</v>
      </c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22">
        <v>1.0</v>
      </c>
      <c r="B149" s="41"/>
      <c r="C149" s="42"/>
      <c r="D149" s="42"/>
      <c r="E149" s="33"/>
      <c r="F149" s="27"/>
      <c r="G149" s="26"/>
      <c r="H149" s="26"/>
      <c r="I149" s="26"/>
      <c r="J149" s="29">
        <f t="shared" si="2"/>
        <v>0</v>
      </c>
      <c r="K149" s="30">
        <f t="shared" si="3"/>
        <v>0</v>
      </c>
      <c r="L149" s="26"/>
      <c r="M149" s="31" t="str">
        <f t="shared" si="4"/>
        <v>No</v>
      </c>
      <c r="N149" s="31" t="str">
        <f t="shared" si="5"/>
        <v>Yes</v>
      </c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22">
        <v>1.0</v>
      </c>
      <c r="B150" s="41"/>
      <c r="C150" s="42"/>
      <c r="D150" s="42"/>
      <c r="E150" s="33"/>
      <c r="F150" s="27"/>
      <c r="G150" s="26"/>
      <c r="H150" s="26"/>
      <c r="I150" s="26"/>
      <c r="J150" s="29">
        <f t="shared" si="2"/>
        <v>0</v>
      </c>
      <c r="K150" s="30">
        <f t="shared" si="3"/>
        <v>0</v>
      </c>
      <c r="L150" s="26"/>
      <c r="M150" s="31" t="str">
        <f t="shared" si="4"/>
        <v>No</v>
      </c>
      <c r="N150" s="31" t="str">
        <f t="shared" si="5"/>
        <v>Yes</v>
      </c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22">
        <v>1.0</v>
      </c>
      <c r="B151" s="41"/>
      <c r="C151" s="42"/>
      <c r="D151" s="42"/>
      <c r="E151" s="33"/>
      <c r="F151" s="27"/>
      <c r="G151" s="26"/>
      <c r="H151" s="26"/>
      <c r="I151" s="26"/>
      <c r="J151" s="29">
        <f t="shared" si="2"/>
        <v>0</v>
      </c>
      <c r="K151" s="30">
        <f t="shared" si="3"/>
        <v>0</v>
      </c>
      <c r="L151" s="26"/>
      <c r="M151" s="31" t="str">
        <f t="shared" si="4"/>
        <v>No</v>
      </c>
      <c r="N151" s="31" t="str">
        <f t="shared" si="5"/>
        <v>Yes</v>
      </c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22">
        <v>1.0</v>
      </c>
      <c r="B152" s="41"/>
      <c r="C152" s="42"/>
      <c r="D152" s="42"/>
      <c r="E152" s="33"/>
      <c r="F152" s="27"/>
      <c r="G152" s="26"/>
      <c r="H152" s="26"/>
      <c r="I152" s="26"/>
      <c r="J152" s="29">
        <f t="shared" si="2"/>
        <v>0</v>
      </c>
      <c r="K152" s="30">
        <f t="shared" si="3"/>
        <v>0</v>
      </c>
      <c r="L152" s="26"/>
      <c r="M152" s="31" t="str">
        <f t="shared" si="4"/>
        <v>No</v>
      </c>
      <c r="N152" s="31" t="str">
        <f t="shared" si="5"/>
        <v>Yes</v>
      </c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22">
        <v>1.0</v>
      </c>
      <c r="B153" s="41"/>
      <c r="C153" s="42"/>
      <c r="D153" s="42"/>
      <c r="E153" s="33"/>
      <c r="F153" s="27"/>
      <c r="G153" s="26"/>
      <c r="H153" s="26"/>
      <c r="I153" s="26"/>
      <c r="J153" s="29">
        <f t="shared" si="2"/>
        <v>0</v>
      </c>
      <c r="K153" s="30">
        <f t="shared" si="3"/>
        <v>0</v>
      </c>
      <c r="L153" s="26"/>
      <c r="M153" s="31" t="str">
        <f t="shared" si="4"/>
        <v>No</v>
      </c>
      <c r="N153" s="31" t="str">
        <f t="shared" si="5"/>
        <v>Yes</v>
      </c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22">
        <v>1.0</v>
      </c>
      <c r="B154" s="41"/>
      <c r="C154" s="42"/>
      <c r="D154" s="42"/>
      <c r="E154" s="33"/>
      <c r="F154" s="27"/>
      <c r="G154" s="26"/>
      <c r="H154" s="26"/>
      <c r="I154" s="26"/>
      <c r="J154" s="29">
        <f t="shared" si="2"/>
        <v>0</v>
      </c>
      <c r="K154" s="30">
        <f t="shared" si="3"/>
        <v>0</v>
      </c>
      <c r="L154" s="26"/>
      <c r="M154" s="31" t="str">
        <f t="shared" si="4"/>
        <v>No</v>
      </c>
      <c r="N154" s="31" t="str">
        <f t="shared" si="5"/>
        <v>Yes</v>
      </c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22">
        <v>1.0</v>
      </c>
      <c r="B155" s="41"/>
      <c r="C155" s="42"/>
      <c r="D155" s="42"/>
      <c r="E155" s="33"/>
      <c r="F155" s="27"/>
      <c r="G155" s="26"/>
      <c r="H155" s="26"/>
      <c r="I155" s="26"/>
      <c r="J155" s="29">
        <f t="shared" si="2"/>
        <v>0</v>
      </c>
      <c r="K155" s="30">
        <f t="shared" si="3"/>
        <v>0</v>
      </c>
      <c r="L155" s="26"/>
      <c r="M155" s="31" t="str">
        <f t="shared" si="4"/>
        <v>No</v>
      </c>
      <c r="N155" s="31" t="str">
        <f t="shared" si="5"/>
        <v>Yes</v>
      </c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22">
        <v>1.0</v>
      </c>
      <c r="B156" s="41"/>
      <c r="C156" s="42"/>
      <c r="D156" s="42"/>
      <c r="E156" s="33"/>
      <c r="F156" s="27"/>
      <c r="G156" s="26"/>
      <c r="H156" s="26"/>
      <c r="I156" s="26"/>
      <c r="J156" s="29">
        <f t="shared" si="2"/>
        <v>0</v>
      </c>
      <c r="K156" s="30">
        <f t="shared" si="3"/>
        <v>0</v>
      </c>
      <c r="L156" s="26"/>
      <c r="M156" s="31" t="str">
        <f t="shared" si="4"/>
        <v>No</v>
      </c>
      <c r="N156" s="31" t="str">
        <f t="shared" si="5"/>
        <v>Yes</v>
      </c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22">
        <v>1.0</v>
      </c>
      <c r="B157" s="41"/>
      <c r="C157" s="42"/>
      <c r="D157" s="42"/>
      <c r="E157" s="33"/>
      <c r="F157" s="27"/>
      <c r="G157" s="26"/>
      <c r="H157" s="26"/>
      <c r="I157" s="26"/>
      <c r="J157" s="29">
        <f t="shared" si="2"/>
        <v>0</v>
      </c>
      <c r="K157" s="30">
        <f t="shared" si="3"/>
        <v>0</v>
      </c>
      <c r="L157" s="26"/>
      <c r="M157" s="31" t="str">
        <f t="shared" si="4"/>
        <v>No</v>
      </c>
      <c r="N157" s="31" t="str">
        <f t="shared" si="5"/>
        <v>Yes</v>
      </c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22">
        <v>1.0</v>
      </c>
      <c r="B158" s="41"/>
      <c r="C158" s="42"/>
      <c r="D158" s="42"/>
      <c r="E158" s="33"/>
      <c r="F158" s="27"/>
      <c r="G158" s="26"/>
      <c r="H158" s="26"/>
      <c r="I158" s="26"/>
      <c r="J158" s="29">
        <f t="shared" si="2"/>
        <v>0</v>
      </c>
      <c r="K158" s="30">
        <f t="shared" si="3"/>
        <v>0</v>
      </c>
      <c r="L158" s="26"/>
      <c r="M158" s="31" t="str">
        <f t="shared" si="4"/>
        <v>No</v>
      </c>
      <c r="N158" s="31" t="str">
        <f t="shared" si="5"/>
        <v>Yes</v>
      </c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22">
        <v>1.0</v>
      </c>
      <c r="B159" s="41"/>
      <c r="C159" s="42"/>
      <c r="D159" s="42"/>
      <c r="E159" s="33"/>
      <c r="F159" s="27"/>
      <c r="G159" s="26"/>
      <c r="H159" s="26"/>
      <c r="I159" s="26"/>
      <c r="J159" s="29">
        <f t="shared" si="2"/>
        <v>0</v>
      </c>
      <c r="K159" s="30">
        <f t="shared" si="3"/>
        <v>0</v>
      </c>
      <c r="L159" s="26"/>
      <c r="M159" s="31" t="str">
        <f t="shared" si="4"/>
        <v>No</v>
      </c>
      <c r="N159" s="31" t="str">
        <f t="shared" si="5"/>
        <v>Yes</v>
      </c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22">
        <v>1.0</v>
      </c>
      <c r="B160" s="41"/>
      <c r="C160" s="42"/>
      <c r="D160" s="42"/>
      <c r="E160" s="33"/>
      <c r="F160" s="27"/>
      <c r="G160" s="26"/>
      <c r="H160" s="26"/>
      <c r="I160" s="26"/>
      <c r="J160" s="29">
        <f t="shared" si="2"/>
        <v>0</v>
      </c>
      <c r="K160" s="30">
        <f t="shared" si="3"/>
        <v>0</v>
      </c>
      <c r="L160" s="26"/>
      <c r="M160" s="31" t="str">
        <f t="shared" si="4"/>
        <v>No</v>
      </c>
      <c r="N160" s="31" t="str">
        <f t="shared" si="5"/>
        <v>Yes</v>
      </c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22">
        <v>1.0</v>
      </c>
      <c r="B161" s="41"/>
      <c r="C161" s="42"/>
      <c r="D161" s="42"/>
      <c r="E161" s="33"/>
      <c r="F161" s="27"/>
      <c r="G161" s="26"/>
      <c r="H161" s="26"/>
      <c r="I161" s="26"/>
      <c r="J161" s="29">
        <f t="shared" si="2"/>
        <v>0</v>
      </c>
      <c r="K161" s="30">
        <f t="shared" si="3"/>
        <v>0</v>
      </c>
      <c r="L161" s="26"/>
      <c r="M161" s="31" t="str">
        <f t="shared" si="4"/>
        <v>No</v>
      </c>
      <c r="N161" s="31" t="str">
        <f t="shared" si="5"/>
        <v>Yes</v>
      </c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22">
        <v>1.0</v>
      </c>
      <c r="B162" s="41"/>
      <c r="C162" s="42"/>
      <c r="D162" s="42"/>
      <c r="E162" s="33"/>
      <c r="F162" s="27"/>
      <c r="G162" s="26"/>
      <c r="H162" s="26"/>
      <c r="I162" s="26"/>
      <c r="J162" s="29">
        <f t="shared" si="2"/>
        <v>0</v>
      </c>
      <c r="K162" s="30">
        <f t="shared" si="3"/>
        <v>0</v>
      </c>
      <c r="L162" s="26"/>
      <c r="M162" s="31" t="str">
        <f t="shared" si="4"/>
        <v>No</v>
      </c>
      <c r="N162" s="31" t="str">
        <f t="shared" si="5"/>
        <v>Yes</v>
      </c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22">
        <v>1.0</v>
      </c>
      <c r="B163" s="41"/>
      <c r="C163" s="42"/>
      <c r="D163" s="42"/>
      <c r="E163" s="33"/>
      <c r="F163" s="27"/>
      <c r="G163" s="26"/>
      <c r="H163" s="26"/>
      <c r="I163" s="26"/>
      <c r="J163" s="29">
        <f t="shared" si="2"/>
        <v>0</v>
      </c>
      <c r="K163" s="30">
        <f t="shared" si="3"/>
        <v>0</v>
      </c>
      <c r="L163" s="26"/>
      <c r="M163" s="31" t="str">
        <f t="shared" si="4"/>
        <v>No</v>
      </c>
      <c r="N163" s="31" t="str">
        <f t="shared" si="5"/>
        <v>Yes</v>
      </c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22">
        <v>1.0</v>
      </c>
      <c r="B164" s="41"/>
      <c r="C164" s="42"/>
      <c r="D164" s="42"/>
      <c r="E164" s="33"/>
      <c r="F164" s="27"/>
      <c r="G164" s="26"/>
      <c r="H164" s="26"/>
      <c r="I164" s="26"/>
      <c r="J164" s="29">
        <f t="shared" si="2"/>
        <v>0</v>
      </c>
      <c r="K164" s="30">
        <f t="shared" si="3"/>
        <v>0</v>
      </c>
      <c r="L164" s="26"/>
      <c r="M164" s="31" t="str">
        <f t="shared" si="4"/>
        <v>No</v>
      </c>
      <c r="N164" s="31" t="str">
        <f t="shared" si="5"/>
        <v>Yes</v>
      </c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22">
        <v>1.0</v>
      </c>
      <c r="B165" s="41"/>
      <c r="C165" s="42"/>
      <c r="D165" s="42"/>
      <c r="E165" s="33"/>
      <c r="F165" s="27"/>
      <c r="G165" s="26"/>
      <c r="H165" s="26"/>
      <c r="I165" s="26"/>
      <c r="J165" s="29">
        <f t="shared" si="2"/>
        <v>0</v>
      </c>
      <c r="K165" s="30">
        <f t="shared" si="3"/>
        <v>0</v>
      </c>
      <c r="L165" s="26"/>
      <c r="M165" s="31" t="str">
        <f t="shared" si="4"/>
        <v>No</v>
      </c>
      <c r="N165" s="31" t="str">
        <f t="shared" si="5"/>
        <v>Yes</v>
      </c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22">
        <v>1.0</v>
      </c>
      <c r="B166" s="41"/>
      <c r="C166" s="42"/>
      <c r="D166" s="42"/>
      <c r="E166" s="33"/>
      <c r="F166" s="27"/>
      <c r="G166" s="26"/>
      <c r="H166" s="26"/>
      <c r="I166" s="26"/>
      <c r="J166" s="29">
        <f t="shared" si="2"/>
        <v>0</v>
      </c>
      <c r="K166" s="30">
        <f t="shared" si="3"/>
        <v>0</v>
      </c>
      <c r="L166" s="26"/>
      <c r="M166" s="31" t="str">
        <f t="shared" si="4"/>
        <v>No</v>
      </c>
      <c r="N166" s="31" t="str">
        <f t="shared" si="5"/>
        <v>Yes</v>
      </c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22">
        <v>1.0</v>
      </c>
      <c r="B167" s="41"/>
      <c r="C167" s="42"/>
      <c r="D167" s="42"/>
      <c r="E167" s="33"/>
      <c r="F167" s="27"/>
      <c r="G167" s="26"/>
      <c r="H167" s="26"/>
      <c r="I167" s="26"/>
      <c r="J167" s="29">
        <f t="shared" si="2"/>
        <v>0</v>
      </c>
      <c r="K167" s="30">
        <f t="shared" si="3"/>
        <v>0</v>
      </c>
      <c r="L167" s="26"/>
      <c r="M167" s="31" t="str">
        <f t="shared" si="4"/>
        <v>No</v>
      </c>
      <c r="N167" s="31" t="str">
        <f t="shared" si="5"/>
        <v>Yes</v>
      </c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22">
        <v>1.0</v>
      </c>
      <c r="B168" s="41"/>
      <c r="C168" s="42"/>
      <c r="D168" s="42"/>
      <c r="E168" s="33"/>
      <c r="F168" s="27"/>
      <c r="G168" s="26"/>
      <c r="H168" s="26"/>
      <c r="I168" s="26"/>
      <c r="J168" s="29">
        <f t="shared" si="2"/>
        <v>0</v>
      </c>
      <c r="K168" s="30">
        <f t="shared" si="3"/>
        <v>0</v>
      </c>
      <c r="L168" s="26"/>
      <c r="M168" s="31" t="str">
        <f t="shared" si="4"/>
        <v>No</v>
      </c>
      <c r="N168" s="31" t="str">
        <f t="shared" si="5"/>
        <v>Yes</v>
      </c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22">
        <v>1.0</v>
      </c>
      <c r="B169" s="41"/>
      <c r="C169" s="42"/>
      <c r="D169" s="42"/>
      <c r="E169" s="33"/>
      <c r="F169" s="27"/>
      <c r="G169" s="26"/>
      <c r="H169" s="26"/>
      <c r="I169" s="26"/>
      <c r="J169" s="29">
        <f t="shared" si="2"/>
        <v>0</v>
      </c>
      <c r="K169" s="30">
        <f t="shared" si="3"/>
        <v>0</v>
      </c>
      <c r="L169" s="26"/>
      <c r="M169" s="31" t="str">
        <f t="shared" si="4"/>
        <v>No</v>
      </c>
      <c r="N169" s="31" t="str">
        <f t="shared" si="5"/>
        <v>Yes</v>
      </c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22">
        <v>1.0</v>
      </c>
      <c r="B170" s="41"/>
      <c r="C170" s="42"/>
      <c r="D170" s="42"/>
      <c r="E170" s="33"/>
      <c r="F170" s="27"/>
      <c r="G170" s="26"/>
      <c r="H170" s="26"/>
      <c r="I170" s="26"/>
      <c r="J170" s="29">
        <f t="shared" si="2"/>
        <v>0</v>
      </c>
      <c r="K170" s="30">
        <f t="shared" si="3"/>
        <v>0</v>
      </c>
      <c r="L170" s="26"/>
      <c r="M170" s="31" t="str">
        <f t="shared" si="4"/>
        <v>No</v>
      </c>
      <c r="N170" s="31" t="str">
        <f t="shared" si="5"/>
        <v>Yes</v>
      </c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22">
        <v>1.0</v>
      </c>
      <c r="B171" s="41"/>
      <c r="C171" s="42"/>
      <c r="D171" s="42"/>
      <c r="E171" s="33"/>
      <c r="F171" s="27"/>
      <c r="G171" s="26"/>
      <c r="H171" s="26"/>
      <c r="I171" s="26"/>
      <c r="J171" s="29">
        <f t="shared" si="2"/>
        <v>0</v>
      </c>
      <c r="K171" s="30">
        <f t="shared" si="3"/>
        <v>0</v>
      </c>
      <c r="L171" s="26"/>
      <c r="M171" s="31" t="str">
        <f t="shared" si="4"/>
        <v>No</v>
      </c>
      <c r="N171" s="31" t="str">
        <f t="shared" si="5"/>
        <v>Yes</v>
      </c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22">
        <v>1.0</v>
      </c>
      <c r="B172" s="41"/>
      <c r="C172" s="42"/>
      <c r="D172" s="42"/>
      <c r="E172" s="33"/>
      <c r="F172" s="27"/>
      <c r="G172" s="26"/>
      <c r="H172" s="26"/>
      <c r="I172" s="26"/>
      <c r="J172" s="29">
        <f t="shared" si="2"/>
        <v>0</v>
      </c>
      <c r="K172" s="30">
        <f t="shared" si="3"/>
        <v>0</v>
      </c>
      <c r="L172" s="26"/>
      <c r="M172" s="31" t="str">
        <f t="shared" si="4"/>
        <v>No</v>
      </c>
      <c r="N172" s="31" t="str">
        <f t="shared" si="5"/>
        <v>Yes</v>
      </c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22">
        <v>1.0</v>
      </c>
      <c r="B173" s="41"/>
      <c r="C173" s="42"/>
      <c r="D173" s="42"/>
      <c r="E173" s="33"/>
      <c r="F173" s="27"/>
      <c r="G173" s="26"/>
      <c r="H173" s="26"/>
      <c r="I173" s="26"/>
      <c r="J173" s="29">
        <f t="shared" si="2"/>
        <v>0</v>
      </c>
      <c r="K173" s="30">
        <f t="shared" si="3"/>
        <v>0</v>
      </c>
      <c r="L173" s="26"/>
      <c r="M173" s="31" t="str">
        <f t="shared" si="4"/>
        <v>No</v>
      </c>
      <c r="N173" s="31" t="str">
        <f t="shared" si="5"/>
        <v>Yes</v>
      </c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22">
        <v>1.0</v>
      </c>
      <c r="B174" s="41"/>
      <c r="C174" s="42"/>
      <c r="D174" s="42"/>
      <c r="E174" s="33"/>
      <c r="F174" s="27"/>
      <c r="G174" s="26"/>
      <c r="H174" s="26"/>
      <c r="I174" s="26"/>
      <c r="J174" s="29">
        <f t="shared" si="2"/>
        <v>0</v>
      </c>
      <c r="K174" s="30">
        <f t="shared" si="3"/>
        <v>0</v>
      </c>
      <c r="L174" s="26"/>
      <c r="M174" s="31" t="str">
        <f t="shared" si="4"/>
        <v>No</v>
      </c>
      <c r="N174" s="31" t="str">
        <f t="shared" si="5"/>
        <v>Yes</v>
      </c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22">
        <v>1.0</v>
      </c>
      <c r="B175" s="41"/>
      <c r="C175" s="42"/>
      <c r="D175" s="42"/>
      <c r="E175" s="33"/>
      <c r="F175" s="27"/>
      <c r="G175" s="26"/>
      <c r="H175" s="26"/>
      <c r="I175" s="26"/>
      <c r="J175" s="29">
        <f t="shared" si="2"/>
        <v>0</v>
      </c>
      <c r="K175" s="30">
        <f t="shared" si="3"/>
        <v>0</v>
      </c>
      <c r="L175" s="26"/>
      <c r="M175" s="31" t="str">
        <f t="shared" si="4"/>
        <v>No</v>
      </c>
      <c r="N175" s="31" t="str">
        <f t="shared" si="5"/>
        <v>Yes</v>
      </c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22">
        <v>1.0</v>
      </c>
      <c r="B176" s="41"/>
      <c r="C176" s="42"/>
      <c r="D176" s="42"/>
      <c r="E176" s="33"/>
      <c r="F176" s="27"/>
      <c r="G176" s="26"/>
      <c r="H176" s="26"/>
      <c r="I176" s="26"/>
      <c r="J176" s="29">
        <f t="shared" si="2"/>
        <v>0</v>
      </c>
      <c r="K176" s="30">
        <f t="shared" si="3"/>
        <v>0</v>
      </c>
      <c r="L176" s="26"/>
      <c r="M176" s="31" t="str">
        <f t="shared" si="4"/>
        <v>No</v>
      </c>
      <c r="N176" s="31" t="str">
        <f t="shared" si="5"/>
        <v>Yes</v>
      </c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22">
        <v>1.0</v>
      </c>
      <c r="B177" s="41"/>
      <c r="C177" s="42"/>
      <c r="D177" s="42"/>
      <c r="E177" s="33"/>
      <c r="F177" s="27"/>
      <c r="G177" s="26"/>
      <c r="H177" s="26"/>
      <c r="I177" s="26"/>
      <c r="J177" s="29">
        <f t="shared" si="2"/>
        <v>0</v>
      </c>
      <c r="K177" s="30">
        <f t="shared" si="3"/>
        <v>0</v>
      </c>
      <c r="L177" s="26"/>
      <c r="M177" s="31" t="str">
        <f t="shared" si="4"/>
        <v>No</v>
      </c>
      <c r="N177" s="31" t="str">
        <f t="shared" si="5"/>
        <v>Yes</v>
      </c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22">
        <v>1.0</v>
      </c>
      <c r="B178" s="41"/>
      <c r="C178" s="42"/>
      <c r="D178" s="42"/>
      <c r="E178" s="33"/>
      <c r="F178" s="27"/>
      <c r="G178" s="26"/>
      <c r="H178" s="26"/>
      <c r="I178" s="26"/>
      <c r="J178" s="29">
        <f t="shared" si="2"/>
        <v>0</v>
      </c>
      <c r="K178" s="30">
        <f t="shared" si="3"/>
        <v>0</v>
      </c>
      <c r="L178" s="26"/>
      <c r="M178" s="31" t="str">
        <f t="shared" si="4"/>
        <v>No</v>
      </c>
      <c r="N178" s="31" t="str">
        <f t="shared" si="5"/>
        <v>Yes</v>
      </c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22">
        <v>1.0</v>
      </c>
      <c r="B179" s="41"/>
      <c r="C179" s="42"/>
      <c r="D179" s="42"/>
      <c r="E179" s="33"/>
      <c r="F179" s="27"/>
      <c r="G179" s="26"/>
      <c r="H179" s="26"/>
      <c r="I179" s="26"/>
      <c r="J179" s="29">
        <f t="shared" si="2"/>
        <v>0</v>
      </c>
      <c r="K179" s="30">
        <f t="shared" si="3"/>
        <v>0</v>
      </c>
      <c r="L179" s="26"/>
      <c r="M179" s="31" t="str">
        <f t="shared" si="4"/>
        <v>No</v>
      </c>
      <c r="N179" s="31" t="str">
        <f t="shared" si="5"/>
        <v>Yes</v>
      </c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22">
        <v>1.0</v>
      </c>
      <c r="B180" s="41"/>
      <c r="C180" s="42"/>
      <c r="D180" s="42"/>
      <c r="E180" s="33"/>
      <c r="F180" s="27"/>
      <c r="G180" s="26"/>
      <c r="H180" s="26"/>
      <c r="I180" s="26"/>
      <c r="J180" s="29">
        <f t="shared" si="2"/>
        <v>0</v>
      </c>
      <c r="K180" s="30">
        <f t="shared" si="3"/>
        <v>0</v>
      </c>
      <c r="L180" s="26"/>
      <c r="M180" s="31" t="str">
        <f t="shared" si="4"/>
        <v>No</v>
      </c>
      <c r="N180" s="31" t="str">
        <f t="shared" si="5"/>
        <v>Yes</v>
      </c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22">
        <v>1.0</v>
      </c>
      <c r="B181" s="41"/>
      <c r="C181" s="42"/>
      <c r="D181" s="42"/>
      <c r="E181" s="33"/>
      <c r="F181" s="27"/>
      <c r="G181" s="26"/>
      <c r="H181" s="26"/>
      <c r="I181" s="26"/>
      <c r="J181" s="29">
        <f t="shared" si="2"/>
        <v>0</v>
      </c>
      <c r="K181" s="30">
        <f t="shared" si="3"/>
        <v>0</v>
      </c>
      <c r="L181" s="26"/>
      <c r="M181" s="31" t="str">
        <f t="shared" si="4"/>
        <v>No</v>
      </c>
      <c r="N181" s="31" t="str">
        <f t="shared" si="5"/>
        <v>Yes</v>
      </c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22">
        <v>1.0</v>
      </c>
      <c r="B182" s="41"/>
      <c r="C182" s="42"/>
      <c r="D182" s="42"/>
      <c r="E182" s="33"/>
      <c r="F182" s="27"/>
      <c r="G182" s="26"/>
      <c r="H182" s="26"/>
      <c r="I182" s="26"/>
      <c r="J182" s="29">
        <f t="shared" si="2"/>
        <v>0</v>
      </c>
      <c r="K182" s="30">
        <f t="shared" si="3"/>
        <v>0</v>
      </c>
      <c r="L182" s="26"/>
      <c r="M182" s="31" t="str">
        <f t="shared" si="4"/>
        <v>No</v>
      </c>
      <c r="N182" s="31" t="str">
        <f t="shared" si="5"/>
        <v>Yes</v>
      </c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22">
        <v>1.0</v>
      </c>
      <c r="B183" s="41"/>
      <c r="C183" s="42"/>
      <c r="D183" s="42"/>
      <c r="E183" s="33"/>
      <c r="F183" s="27"/>
      <c r="G183" s="26"/>
      <c r="H183" s="26"/>
      <c r="I183" s="26"/>
      <c r="J183" s="29">
        <f t="shared" si="2"/>
        <v>0</v>
      </c>
      <c r="K183" s="30">
        <f t="shared" si="3"/>
        <v>0</v>
      </c>
      <c r="L183" s="26"/>
      <c r="M183" s="31" t="str">
        <f t="shared" si="4"/>
        <v>No</v>
      </c>
      <c r="N183" s="31" t="str">
        <f t="shared" si="5"/>
        <v>Yes</v>
      </c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22">
        <v>1.0</v>
      </c>
      <c r="B184" s="41"/>
      <c r="C184" s="42"/>
      <c r="D184" s="42"/>
      <c r="E184" s="33"/>
      <c r="F184" s="27"/>
      <c r="G184" s="26"/>
      <c r="H184" s="26"/>
      <c r="I184" s="26"/>
      <c r="J184" s="29">
        <f t="shared" si="2"/>
        <v>0</v>
      </c>
      <c r="K184" s="30">
        <f t="shared" si="3"/>
        <v>0</v>
      </c>
      <c r="L184" s="26"/>
      <c r="M184" s="31" t="str">
        <f t="shared" si="4"/>
        <v>No</v>
      </c>
      <c r="N184" s="31" t="str">
        <f t="shared" si="5"/>
        <v>Yes</v>
      </c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22">
        <v>1.0</v>
      </c>
      <c r="B185" s="41"/>
      <c r="C185" s="42"/>
      <c r="D185" s="42"/>
      <c r="E185" s="33"/>
      <c r="F185" s="27"/>
      <c r="G185" s="26"/>
      <c r="H185" s="26"/>
      <c r="I185" s="26"/>
      <c r="J185" s="29">
        <f t="shared" si="2"/>
        <v>0</v>
      </c>
      <c r="K185" s="30">
        <f t="shared" si="3"/>
        <v>0</v>
      </c>
      <c r="L185" s="26"/>
      <c r="M185" s="31" t="str">
        <f t="shared" si="4"/>
        <v>No</v>
      </c>
      <c r="N185" s="31" t="str">
        <f t="shared" si="5"/>
        <v>Yes</v>
      </c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22">
        <v>1.0</v>
      </c>
      <c r="B186" s="41"/>
      <c r="C186" s="42"/>
      <c r="D186" s="42"/>
      <c r="E186" s="33"/>
      <c r="F186" s="27"/>
      <c r="G186" s="26"/>
      <c r="H186" s="26"/>
      <c r="I186" s="26"/>
      <c r="J186" s="29">
        <f t="shared" si="2"/>
        <v>0</v>
      </c>
      <c r="K186" s="30">
        <f t="shared" si="3"/>
        <v>0</v>
      </c>
      <c r="L186" s="26"/>
      <c r="M186" s="31" t="str">
        <f t="shared" si="4"/>
        <v>No</v>
      </c>
      <c r="N186" s="31" t="str">
        <f t="shared" si="5"/>
        <v>Yes</v>
      </c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22">
        <v>1.0</v>
      </c>
      <c r="B187" s="41"/>
      <c r="C187" s="42"/>
      <c r="D187" s="42"/>
      <c r="E187" s="33"/>
      <c r="F187" s="27"/>
      <c r="G187" s="26"/>
      <c r="H187" s="26"/>
      <c r="I187" s="26"/>
      <c r="J187" s="29">
        <f t="shared" si="2"/>
        <v>0</v>
      </c>
      <c r="K187" s="30">
        <f t="shared" si="3"/>
        <v>0</v>
      </c>
      <c r="L187" s="26"/>
      <c r="M187" s="31" t="str">
        <f t="shared" si="4"/>
        <v>No</v>
      </c>
      <c r="N187" s="31" t="str">
        <f t="shared" si="5"/>
        <v>Yes</v>
      </c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22">
        <v>1.0</v>
      </c>
      <c r="B188" s="41"/>
      <c r="C188" s="42"/>
      <c r="D188" s="42"/>
      <c r="E188" s="33"/>
      <c r="F188" s="43"/>
      <c r="G188" s="26"/>
      <c r="H188" s="26"/>
      <c r="I188" s="26"/>
      <c r="J188" s="29">
        <f t="shared" si="2"/>
        <v>0</v>
      </c>
      <c r="K188" s="30">
        <f t="shared" si="3"/>
        <v>0</v>
      </c>
      <c r="L188" s="26"/>
      <c r="M188" s="31" t="str">
        <f t="shared" si="4"/>
        <v>No</v>
      </c>
      <c r="N188" s="31" t="str">
        <f t="shared" si="5"/>
        <v>Yes</v>
      </c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22">
        <v>1.0</v>
      </c>
      <c r="B189" s="41"/>
      <c r="C189" s="42"/>
      <c r="D189" s="42"/>
      <c r="E189" s="33"/>
      <c r="F189" s="43"/>
      <c r="G189" s="26"/>
      <c r="H189" s="26"/>
      <c r="I189" s="26"/>
      <c r="J189" s="29">
        <f t="shared" si="2"/>
        <v>0</v>
      </c>
      <c r="K189" s="30">
        <f t="shared" si="3"/>
        <v>0</v>
      </c>
      <c r="L189" s="26"/>
      <c r="M189" s="31" t="str">
        <f t="shared" si="4"/>
        <v>No</v>
      </c>
      <c r="N189" s="31" t="str">
        <f t="shared" si="5"/>
        <v>Yes</v>
      </c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22">
        <v>1.0</v>
      </c>
      <c r="B190" s="41"/>
      <c r="C190" s="42"/>
      <c r="D190" s="42"/>
      <c r="E190" s="33"/>
      <c r="F190" s="43"/>
      <c r="G190" s="26"/>
      <c r="H190" s="26"/>
      <c r="I190" s="26"/>
      <c r="J190" s="29">
        <f t="shared" si="2"/>
        <v>0</v>
      </c>
      <c r="K190" s="30">
        <f t="shared" si="3"/>
        <v>0</v>
      </c>
      <c r="L190" s="26"/>
      <c r="M190" s="31" t="str">
        <f t="shared" si="4"/>
        <v>No</v>
      </c>
      <c r="N190" s="31" t="str">
        <f t="shared" si="5"/>
        <v>Yes</v>
      </c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22">
        <v>1.0</v>
      </c>
      <c r="B191" s="41"/>
      <c r="C191" s="42"/>
      <c r="D191" s="42"/>
      <c r="E191" s="33"/>
      <c r="F191" s="43"/>
      <c r="G191" s="26"/>
      <c r="H191" s="26"/>
      <c r="I191" s="26"/>
      <c r="J191" s="29">
        <f t="shared" si="2"/>
        <v>0</v>
      </c>
      <c r="K191" s="30">
        <f t="shared" si="3"/>
        <v>0</v>
      </c>
      <c r="L191" s="26"/>
      <c r="M191" s="31" t="str">
        <f t="shared" si="4"/>
        <v>No</v>
      </c>
      <c r="N191" s="31" t="str">
        <f t="shared" si="5"/>
        <v>Yes</v>
      </c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22">
        <v>1.0</v>
      </c>
      <c r="B192" s="41"/>
      <c r="C192" s="42"/>
      <c r="D192" s="42"/>
      <c r="E192" s="33"/>
      <c r="F192" s="43"/>
      <c r="G192" s="26"/>
      <c r="H192" s="26"/>
      <c r="I192" s="26"/>
      <c r="J192" s="29">
        <f t="shared" si="2"/>
        <v>0</v>
      </c>
      <c r="K192" s="30">
        <f t="shared" si="3"/>
        <v>0</v>
      </c>
      <c r="L192" s="26"/>
      <c r="M192" s="31" t="str">
        <f t="shared" si="4"/>
        <v>No</v>
      </c>
      <c r="N192" s="31" t="str">
        <f t="shared" si="5"/>
        <v>Yes</v>
      </c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22">
        <v>1.0</v>
      </c>
      <c r="B193" s="41"/>
      <c r="C193" s="42"/>
      <c r="D193" s="42"/>
      <c r="E193" s="33"/>
      <c r="F193" s="43"/>
      <c r="G193" s="26"/>
      <c r="H193" s="26"/>
      <c r="I193" s="26"/>
      <c r="J193" s="29">
        <f t="shared" si="2"/>
        <v>0</v>
      </c>
      <c r="K193" s="30">
        <f t="shared" si="3"/>
        <v>0</v>
      </c>
      <c r="L193" s="26"/>
      <c r="M193" s="31" t="str">
        <f t="shared" si="4"/>
        <v>No</v>
      </c>
      <c r="N193" s="31" t="str">
        <f t="shared" si="5"/>
        <v>Yes</v>
      </c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22">
        <v>1.0</v>
      </c>
      <c r="B194" s="41"/>
      <c r="C194" s="42"/>
      <c r="D194" s="42"/>
      <c r="E194" s="33"/>
      <c r="F194" s="43"/>
      <c r="G194" s="26"/>
      <c r="H194" s="26"/>
      <c r="I194" s="26"/>
      <c r="J194" s="29">
        <f t="shared" si="2"/>
        <v>0</v>
      </c>
      <c r="K194" s="30">
        <f t="shared" si="3"/>
        <v>0</v>
      </c>
      <c r="L194" s="26"/>
      <c r="M194" s="31" t="str">
        <f t="shared" si="4"/>
        <v>No</v>
      </c>
      <c r="N194" s="31" t="str">
        <f t="shared" si="5"/>
        <v>Yes</v>
      </c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22">
        <v>1.0</v>
      </c>
      <c r="B195" s="41"/>
      <c r="C195" s="42"/>
      <c r="D195" s="42"/>
      <c r="E195" s="33"/>
      <c r="F195" s="43"/>
      <c r="G195" s="26"/>
      <c r="H195" s="26"/>
      <c r="I195" s="26"/>
      <c r="J195" s="29">
        <f t="shared" si="2"/>
        <v>0</v>
      </c>
      <c r="K195" s="30">
        <f t="shared" si="3"/>
        <v>0</v>
      </c>
      <c r="L195" s="26"/>
      <c r="M195" s="31" t="str">
        <f t="shared" si="4"/>
        <v>No</v>
      </c>
      <c r="N195" s="31" t="str">
        <f t="shared" si="5"/>
        <v>Yes</v>
      </c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22">
        <v>1.0</v>
      </c>
      <c r="B196" s="41"/>
      <c r="C196" s="42"/>
      <c r="D196" s="42"/>
      <c r="E196" s="33"/>
      <c r="F196" s="43"/>
      <c r="G196" s="26"/>
      <c r="H196" s="26"/>
      <c r="I196" s="26"/>
      <c r="J196" s="29">
        <f t="shared" si="2"/>
        <v>0</v>
      </c>
      <c r="K196" s="30">
        <f t="shared" si="3"/>
        <v>0</v>
      </c>
      <c r="L196" s="26"/>
      <c r="M196" s="31" t="str">
        <f t="shared" si="4"/>
        <v>No</v>
      </c>
      <c r="N196" s="31" t="str">
        <f t="shared" si="5"/>
        <v>Yes</v>
      </c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22">
        <v>1.0</v>
      </c>
      <c r="B197" s="41"/>
      <c r="C197" s="42"/>
      <c r="D197" s="42"/>
      <c r="E197" s="33"/>
      <c r="F197" s="43"/>
      <c r="G197" s="26"/>
      <c r="H197" s="26"/>
      <c r="I197" s="26"/>
      <c r="J197" s="29">
        <f t="shared" si="2"/>
        <v>0</v>
      </c>
      <c r="K197" s="30">
        <f t="shared" si="3"/>
        <v>0</v>
      </c>
      <c r="L197" s="26"/>
      <c r="M197" s="31" t="str">
        <f t="shared" si="4"/>
        <v>No</v>
      </c>
      <c r="N197" s="31" t="str">
        <f t="shared" si="5"/>
        <v>Yes</v>
      </c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22">
        <v>1.0</v>
      </c>
      <c r="B198" s="41"/>
      <c r="C198" s="42"/>
      <c r="D198" s="42"/>
      <c r="E198" s="33"/>
      <c r="F198" s="43"/>
      <c r="G198" s="26"/>
      <c r="H198" s="26"/>
      <c r="I198" s="26"/>
      <c r="J198" s="29">
        <f t="shared" si="2"/>
        <v>0</v>
      </c>
      <c r="K198" s="30">
        <f t="shared" si="3"/>
        <v>0</v>
      </c>
      <c r="L198" s="26"/>
      <c r="M198" s="31" t="str">
        <f t="shared" si="4"/>
        <v>No</v>
      </c>
      <c r="N198" s="31" t="str">
        <f t="shared" si="5"/>
        <v>Yes</v>
      </c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22">
        <v>1.0</v>
      </c>
      <c r="B199" s="41"/>
      <c r="C199" s="42"/>
      <c r="D199" s="42"/>
      <c r="E199" s="33"/>
      <c r="F199" s="43"/>
      <c r="G199" s="26"/>
      <c r="H199" s="26"/>
      <c r="I199" s="26"/>
      <c r="J199" s="29">
        <f t="shared" si="2"/>
        <v>0</v>
      </c>
      <c r="K199" s="30">
        <f t="shared" si="3"/>
        <v>0</v>
      </c>
      <c r="L199" s="26"/>
      <c r="M199" s="31" t="str">
        <f t="shared" si="4"/>
        <v>No</v>
      </c>
      <c r="N199" s="31" t="str">
        <f t="shared" si="5"/>
        <v>Yes</v>
      </c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22">
        <v>1.0</v>
      </c>
      <c r="B200" s="41"/>
      <c r="C200" s="42"/>
      <c r="D200" s="42"/>
      <c r="E200" s="33"/>
      <c r="F200" s="43"/>
      <c r="G200" s="26"/>
      <c r="H200" s="26"/>
      <c r="I200" s="26"/>
      <c r="J200" s="29">
        <f t="shared" si="2"/>
        <v>0</v>
      </c>
      <c r="K200" s="30">
        <f t="shared" si="3"/>
        <v>0</v>
      </c>
      <c r="L200" s="26"/>
      <c r="M200" s="31" t="str">
        <f t="shared" si="4"/>
        <v>No</v>
      </c>
      <c r="N200" s="31" t="str">
        <f t="shared" si="5"/>
        <v>Yes</v>
      </c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22">
        <v>1.0</v>
      </c>
      <c r="B201" s="41"/>
      <c r="C201" s="42"/>
      <c r="D201" s="42"/>
      <c r="E201" s="33"/>
      <c r="F201" s="43"/>
      <c r="G201" s="26"/>
      <c r="H201" s="26"/>
      <c r="I201" s="26"/>
      <c r="J201" s="29">
        <f t="shared" si="2"/>
        <v>0</v>
      </c>
      <c r="K201" s="30">
        <f t="shared" si="3"/>
        <v>0</v>
      </c>
      <c r="L201" s="26"/>
      <c r="M201" s="31" t="str">
        <f t="shared" si="4"/>
        <v>No</v>
      </c>
      <c r="N201" s="31" t="str">
        <f t="shared" si="5"/>
        <v>Yes</v>
      </c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22">
        <v>1.0</v>
      </c>
      <c r="B202" s="41"/>
      <c r="C202" s="42"/>
      <c r="D202" s="42"/>
      <c r="E202" s="33"/>
      <c r="F202" s="43"/>
      <c r="G202" s="26"/>
      <c r="H202" s="26"/>
      <c r="I202" s="26"/>
      <c r="J202" s="29">
        <f t="shared" si="2"/>
        <v>0</v>
      </c>
      <c r="K202" s="30">
        <f t="shared" si="3"/>
        <v>0</v>
      </c>
      <c r="L202" s="26"/>
      <c r="M202" s="31" t="s">
        <v>42</v>
      </c>
      <c r="N202" s="31" t="str">
        <f t="shared" si="5"/>
        <v>Yes</v>
      </c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22">
        <v>1.0</v>
      </c>
      <c r="B203" s="41"/>
      <c r="C203" s="42"/>
      <c r="D203" s="42"/>
      <c r="E203" s="33"/>
      <c r="F203" s="43"/>
      <c r="G203" s="26"/>
      <c r="H203" s="26"/>
      <c r="I203" s="26"/>
      <c r="J203" s="29">
        <f t="shared" si="2"/>
        <v>0</v>
      </c>
      <c r="K203" s="30">
        <f t="shared" si="3"/>
        <v>0</v>
      </c>
      <c r="L203" s="26"/>
      <c r="M203" s="31" t="str">
        <f t="shared" ref="M203:M298" si="6">IF(AND(H203&gt;2,L203="Y"),"Yes","No")</f>
        <v>No</v>
      </c>
      <c r="N203" s="31" t="str">
        <f t="shared" si="5"/>
        <v>Yes</v>
      </c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22">
        <v>1.0</v>
      </c>
      <c r="B204" s="41"/>
      <c r="C204" s="42"/>
      <c r="D204" s="42"/>
      <c r="E204" s="33"/>
      <c r="F204" s="43"/>
      <c r="G204" s="26"/>
      <c r="H204" s="26"/>
      <c r="I204" s="26"/>
      <c r="J204" s="29">
        <f t="shared" si="2"/>
        <v>0</v>
      </c>
      <c r="K204" s="30">
        <f t="shared" si="3"/>
        <v>0</v>
      </c>
      <c r="L204" s="26"/>
      <c r="M204" s="31" t="str">
        <f t="shared" si="6"/>
        <v>No</v>
      </c>
      <c r="N204" s="31" t="str">
        <f t="shared" si="5"/>
        <v>Yes</v>
      </c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22">
        <v>1.0</v>
      </c>
      <c r="B205" s="41"/>
      <c r="C205" s="42"/>
      <c r="D205" s="42"/>
      <c r="E205" s="33"/>
      <c r="F205" s="43"/>
      <c r="G205" s="26"/>
      <c r="H205" s="26"/>
      <c r="I205" s="26"/>
      <c r="J205" s="29">
        <f t="shared" si="2"/>
        <v>0</v>
      </c>
      <c r="K205" s="30">
        <f t="shared" si="3"/>
        <v>0</v>
      </c>
      <c r="L205" s="26"/>
      <c r="M205" s="31" t="str">
        <f t="shared" si="6"/>
        <v>No</v>
      </c>
      <c r="N205" s="31" t="str">
        <f t="shared" si="5"/>
        <v>Yes</v>
      </c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22">
        <v>1.0</v>
      </c>
      <c r="B206" s="41"/>
      <c r="C206" s="42"/>
      <c r="D206" s="42"/>
      <c r="E206" s="33"/>
      <c r="F206" s="43"/>
      <c r="G206" s="26"/>
      <c r="H206" s="26"/>
      <c r="I206" s="26"/>
      <c r="J206" s="29">
        <f t="shared" si="2"/>
        <v>0</v>
      </c>
      <c r="K206" s="30">
        <f t="shared" si="3"/>
        <v>0</v>
      </c>
      <c r="L206" s="26"/>
      <c r="M206" s="31" t="str">
        <f t="shared" si="6"/>
        <v>No</v>
      </c>
      <c r="N206" s="31" t="str">
        <f t="shared" si="5"/>
        <v>Yes</v>
      </c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22">
        <v>1.0</v>
      </c>
      <c r="B207" s="41"/>
      <c r="C207" s="42"/>
      <c r="D207" s="42"/>
      <c r="E207" s="33"/>
      <c r="F207" s="43"/>
      <c r="G207" s="26"/>
      <c r="H207" s="26"/>
      <c r="I207" s="26"/>
      <c r="J207" s="29">
        <f t="shared" si="2"/>
        <v>0</v>
      </c>
      <c r="K207" s="30">
        <f t="shared" si="3"/>
        <v>0</v>
      </c>
      <c r="L207" s="26"/>
      <c r="M207" s="31" t="str">
        <f t="shared" si="6"/>
        <v>No</v>
      </c>
      <c r="N207" s="31" t="str">
        <f t="shared" si="5"/>
        <v>Yes</v>
      </c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22">
        <v>1.0</v>
      </c>
      <c r="B208" s="41"/>
      <c r="C208" s="42"/>
      <c r="D208" s="42"/>
      <c r="E208" s="33"/>
      <c r="F208" s="43"/>
      <c r="G208" s="26"/>
      <c r="H208" s="26"/>
      <c r="I208" s="26"/>
      <c r="J208" s="29">
        <f t="shared" si="2"/>
        <v>0</v>
      </c>
      <c r="K208" s="30">
        <f t="shared" si="3"/>
        <v>0</v>
      </c>
      <c r="L208" s="26"/>
      <c r="M208" s="31" t="str">
        <f t="shared" si="6"/>
        <v>No</v>
      </c>
      <c r="N208" s="31" t="str">
        <f t="shared" si="5"/>
        <v>Yes</v>
      </c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22">
        <v>1.0</v>
      </c>
      <c r="B209" s="41"/>
      <c r="C209" s="42"/>
      <c r="D209" s="42"/>
      <c r="E209" s="33"/>
      <c r="F209" s="43"/>
      <c r="G209" s="26"/>
      <c r="H209" s="26"/>
      <c r="I209" s="26"/>
      <c r="J209" s="29">
        <f t="shared" si="2"/>
        <v>0</v>
      </c>
      <c r="K209" s="30">
        <f t="shared" si="3"/>
        <v>0</v>
      </c>
      <c r="L209" s="26"/>
      <c r="M209" s="31" t="str">
        <f t="shared" si="6"/>
        <v>No</v>
      </c>
      <c r="N209" s="31" t="str">
        <f t="shared" si="5"/>
        <v>Yes</v>
      </c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22">
        <v>1.0</v>
      </c>
      <c r="B210" s="41"/>
      <c r="C210" s="42"/>
      <c r="D210" s="42"/>
      <c r="E210" s="33"/>
      <c r="F210" s="43"/>
      <c r="G210" s="26"/>
      <c r="H210" s="26"/>
      <c r="I210" s="26"/>
      <c r="J210" s="29">
        <f t="shared" si="2"/>
        <v>0</v>
      </c>
      <c r="K210" s="30">
        <f t="shared" si="3"/>
        <v>0</v>
      </c>
      <c r="L210" s="26"/>
      <c r="M210" s="31" t="str">
        <f t="shared" si="6"/>
        <v>No</v>
      </c>
      <c r="N210" s="31" t="str">
        <f t="shared" si="5"/>
        <v>Yes</v>
      </c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22">
        <v>1.0</v>
      </c>
      <c r="B211" s="41"/>
      <c r="C211" s="42"/>
      <c r="D211" s="42"/>
      <c r="E211" s="33"/>
      <c r="F211" s="43"/>
      <c r="G211" s="26"/>
      <c r="H211" s="26"/>
      <c r="I211" s="26"/>
      <c r="J211" s="29">
        <f t="shared" si="2"/>
        <v>0</v>
      </c>
      <c r="K211" s="30">
        <f t="shared" si="3"/>
        <v>0</v>
      </c>
      <c r="L211" s="26"/>
      <c r="M211" s="31" t="str">
        <f t="shared" si="6"/>
        <v>No</v>
      </c>
      <c r="N211" s="31" t="str">
        <f t="shared" si="5"/>
        <v>Yes</v>
      </c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22">
        <v>1.0</v>
      </c>
      <c r="B212" s="41"/>
      <c r="C212" s="42"/>
      <c r="D212" s="42"/>
      <c r="E212" s="33"/>
      <c r="F212" s="43"/>
      <c r="G212" s="26"/>
      <c r="H212" s="26"/>
      <c r="I212" s="26"/>
      <c r="J212" s="29">
        <f t="shared" si="2"/>
        <v>0</v>
      </c>
      <c r="K212" s="30">
        <f t="shared" si="3"/>
        <v>0</v>
      </c>
      <c r="L212" s="26"/>
      <c r="M212" s="31" t="str">
        <f t="shared" si="6"/>
        <v>No</v>
      </c>
      <c r="N212" s="31" t="str">
        <f t="shared" si="5"/>
        <v>Yes</v>
      </c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22">
        <v>1.0</v>
      </c>
      <c r="B213" s="41"/>
      <c r="C213" s="42"/>
      <c r="D213" s="42"/>
      <c r="E213" s="33"/>
      <c r="F213" s="43"/>
      <c r="G213" s="26"/>
      <c r="H213" s="26"/>
      <c r="I213" s="26"/>
      <c r="J213" s="29">
        <f t="shared" si="2"/>
        <v>0</v>
      </c>
      <c r="K213" s="30">
        <f t="shared" si="3"/>
        <v>0</v>
      </c>
      <c r="L213" s="26"/>
      <c r="M213" s="31" t="str">
        <f t="shared" si="6"/>
        <v>No</v>
      </c>
      <c r="N213" s="31" t="str">
        <f t="shared" si="5"/>
        <v>Yes</v>
      </c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22">
        <v>1.0</v>
      </c>
      <c r="B214" s="41"/>
      <c r="C214" s="42"/>
      <c r="D214" s="42"/>
      <c r="E214" s="33"/>
      <c r="F214" s="43"/>
      <c r="G214" s="26"/>
      <c r="H214" s="26"/>
      <c r="I214" s="26"/>
      <c r="J214" s="29">
        <f t="shared" si="2"/>
        <v>0</v>
      </c>
      <c r="K214" s="30">
        <f t="shared" si="3"/>
        <v>0</v>
      </c>
      <c r="L214" s="26"/>
      <c r="M214" s="31" t="str">
        <f t="shared" si="6"/>
        <v>No</v>
      </c>
      <c r="N214" s="31" t="str">
        <f t="shared" si="5"/>
        <v>Yes</v>
      </c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22">
        <v>1.0</v>
      </c>
      <c r="B215" s="41"/>
      <c r="C215" s="42"/>
      <c r="D215" s="42"/>
      <c r="E215" s="33"/>
      <c r="F215" s="43"/>
      <c r="G215" s="26"/>
      <c r="H215" s="26"/>
      <c r="I215" s="26"/>
      <c r="J215" s="29">
        <f t="shared" si="2"/>
        <v>0</v>
      </c>
      <c r="K215" s="30">
        <f t="shared" si="3"/>
        <v>0</v>
      </c>
      <c r="L215" s="26"/>
      <c r="M215" s="31" t="str">
        <f t="shared" si="6"/>
        <v>No</v>
      </c>
      <c r="N215" s="31" t="str">
        <f t="shared" si="5"/>
        <v>Yes</v>
      </c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22">
        <v>1.0</v>
      </c>
      <c r="B216" s="41"/>
      <c r="C216" s="42"/>
      <c r="D216" s="42"/>
      <c r="E216" s="33"/>
      <c r="F216" s="43"/>
      <c r="G216" s="26"/>
      <c r="H216" s="26"/>
      <c r="I216" s="26"/>
      <c r="J216" s="29">
        <f t="shared" si="2"/>
        <v>0</v>
      </c>
      <c r="K216" s="30">
        <f t="shared" si="3"/>
        <v>0</v>
      </c>
      <c r="L216" s="26"/>
      <c r="M216" s="31" t="str">
        <f t="shared" si="6"/>
        <v>No</v>
      </c>
      <c r="N216" s="31" t="str">
        <f t="shared" si="5"/>
        <v>Yes</v>
      </c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22">
        <v>1.0</v>
      </c>
      <c r="B217" s="41"/>
      <c r="C217" s="42"/>
      <c r="D217" s="42"/>
      <c r="E217" s="33"/>
      <c r="F217" s="43"/>
      <c r="G217" s="26"/>
      <c r="H217" s="26"/>
      <c r="I217" s="26"/>
      <c r="J217" s="29">
        <f t="shared" si="2"/>
        <v>0</v>
      </c>
      <c r="K217" s="30">
        <f t="shared" si="3"/>
        <v>0</v>
      </c>
      <c r="L217" s="26"/>
      <c r="M217" s="31" t="str">
        <f t="shared" si="6"/>
        <v>No</v>
      </c>
      <c r="N217" s="31" t="str">
        <f t="shared" si="5"/>
        <v>Yes</v>
      </c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22">
        <v>1.0</v>
      </c>
      <c r="B218" s="22"/>
      <c r="C218" s="22"/>
      <c r="D218" s="22"/>
      <c r="E218" s="33"/>
      <c r="F218" s="43"/>
      <c r="G218" s="26"/>
      <c r="H218" s="26"/>
      <c r="I218" s="26"/>
      <c r="J218" s="29">
        <f t="shared" si="2"/>
        <v>0</v>
      </c>
      <c r="K218" s="30">
        <f t="shared" si="3"/>
        <v>0</v>
      </c>
      <c r="L218" s="26"/>
      <c r="M218" s="31" t="str">
        <f t="shared" si="6"/>
        <v>No</v>
      </c>
      <c r="N218" s="31" t="str">
        <f t="shared" si="5"/>
        <v>Yes</v>
      </c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22">
        <v>1.0</v>
      </c>
      <c r="B219" s="22"/>
      <c r="C219" s="22"/>
      <c r="D219" s="22"/>
      <c r="E219" s="33"/>
      <c r="F219" s="43"/>
      <c r="G219" s="26"/>
      <c r="H219" s="26"/>
      <c r="I219" s="26"/>
      <c r="J219" s="29">
        <f t="shared" si="2"/>
        <v>0</v>
      </c>
      <c r="K219" s="30">
        <f t="shared" si="3"/>
        <v>0</v>
      </c>
      <c r="L219" s="26"/>
      <c r="M219" s="31" t="str">
        <f t="shared" si="6"/>
        <v>No</v>
      </c>
      <c r="N219" s="31" t="str">
        <f t="shared" si="5"/>
        <v>Yes</v>
      </c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22">
        <v>1.0</v>
      </c>
      <c r="B220" s="22"/>
      <c r="C220" s="22"/>
      <c r="D220" s="22"/>
      <c r="E220" s="33"/>
      <c r="F220" s="43"/>
      <c r="G220" s="26"/>
      <c r="H220" s="26"/>
      <c r="I220" s="26"/>
      <c r="J220" s="29">
        <f t="shared" si="2"/>
        <v>0</v>
      </c>
      <c r="K220" s="30">
        <f t="shared" si="3"/>
        <v>0</v>
      </c>
      <c r="L220" s="26"/>
      <c r="M220" s="31" t="str">
        <f t="shared" si="6"/>
        <v>No</v>
      </c>
      <c r="N220" s="31" t="str">
        <f t="shared" si="5"/>
        <v>Yes</v>
      </c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22">
        <v>1.0</v>
      </c>
      <c r="B221" s="22"/>
      <c r="C221" s="22"/>
      <c r="D221" s="22"/>
      <c r="E221" s="33"/>
      <c r="F221" s="43"/>
      <c r="G221" s="26"/>
      <c r="H221" s="26"/>
      <c r="I221" s="26"/>
      <c r="J221" s="29">
        <f t="shared" si="2"/>
        <v>0</v>
      </c>
      <c r="K221" s="30">
        <f t="shared" si="3"/>
        <v>0</v>
      </c>
      <c r="L221" s="26"/>
      <c r="M221" s="31" t="str">
        <f t="shared" si="6"/>
        <v>No</v>
      </c>
      <c r="N221" s="31" t="str">
        <f t="shared" si="5"/>
        <v>Yes</v>
      </c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22">
        <v>1.0</v>
      </c>
      <c r="B222" s="22"/>
      <c r="C222" s="22"/>
      <c r="D222" s="22"/>
      <c r="E222" s="33"/>
      <c r="F222" s="43"/>
      <c r="G222" s="26"/>
      <c r="H222" s="26"/>
      <c r="I222" s="26"/>
      <c r="J222" s="29">
        <f t="shared" si="2"/>
        <v>0</v>
      </c>
      <c r="K222" s="30">
        <f t="shared" si="3"/>
        <v>0</v>
      </c>
      <c r="L222" s="26"/>
      <c r="M222" s="31" t="str">
        <f t="shared" si="6"/>
        <v>No</v>
      </c>
      <c r="N222" s="31" t="str">
        <f t="shared" si="5"/>
        <v>Yes</v>
      </c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22">
        <v>1.0</v>
      </c>
      <c r="B223" s="22"/>
      <c r="C223" s="22"/>
      <c r="D223" s="22"/>
      <c r="E223" s="33"/>
      <c r="F223" s="43"/>
      <c r="G223" s="26"/>
      <c r="H223" s="26"/>
      <c r="I223" s="26"/>
      <c r="J223" s="29">
        <f t="shared" si="2"/>
        <v>0</v>
      </c>
      <c r="K223" s="30">
        <f t="shared" si="3"/>
        <v>0</v>
      </c>
      <c r="L223" s="26"/>
      <c r="M223" s="31" t="str">
        <f t="shared" si="6"/>
        <v>No</v>
      </c>
      <c r="N223" s="31" t="str">
        <f t="shared" si="5"/>
        <v>Yes</v>
      </c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22">
        <v>1.0</v>
      </c>
      <c r="B224" s="22"/>
      <c r="C224" s="22"/>
      <c r="D224" s="22"/>
      <c r="E224" s="33"/>
      <c r="F224" s="43"/>
      <c r="G224" s="26"/>
      <c r="H224" s="26"/>
      <c r="I224" s="26"/>
      <c r="J224" s="29">
        <f t="shared" si="2"/>
        <v>0</v>
      </c>
      <c r="K224" s="30">
        <f t="shared" si="3"/>
        <v>0</v>
      </c>
      <c r="L224" s="26"/>
      <c r="M224" s="31" t="str">
        <f t="shared" si="6"/>
        <v>No</v>
      </c>
      <c r="N224" s="31" t="str">
        <f t="shared" si="5"/>
        <v>Yes</v>
      </c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22">
        <v>1.0</v>
      </c>
      <c r="B225" s="22"/>
      <c r="C225" s="22"/>
      <c r="D225" s="22"/>
      <c r="E225" s="33"/>
      <c r="F225" s="43"/>
      <c r="G225" s="26"/>
      <c r="H225" s="26"/>
      <c r="I225" s="26"/>
      <c r="J225" s="29">
        <f t="shared" si="2"/>
        <v>0</v>
      </c>
      <c r="K225" s="30">
        <f t="shared" si="3"/>
        <v>0</v>
      </c>
      <c r="L225" s="26"/>
      <c r="M225" s="31" t="str">
        <f t="shared" si="6"/>
        <v>No</v>
      </c>
      <c r="N225" s="31" t="str">
        <f t="shared" si="5"/>
        <v>Yes</v>
      </c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22">
        <v>1.0</v>
      </c>
      <c r="B226" s="22"/>
      <c r="C226" s="22"/>
      <c r="D226" s="22"/>
      <c r="E226" s="33"/>
      <c r="F226" s="43"/>
      <c r="G226" s="26"/>
      <c r="H226" s="26"/>
      <c r="I226" s="26"/>
      <c r="J226" s="29">
        <f t="shared" si="2"/>
        <v>0</v>
      </c>
      <c r="K226" s="30">
        <f t="shared" si="3"/>
        <v>0</v>
      </c>
      <c r="L226" s="26"/>
      <c r="M226" s="31" t="str">
        <f t="shared" si="6"/>
        <v>No</v>
      </c>
      <c r="N226" s="31" t="str">
        <f t="shared" si="5"/>
        <v>Yes</v>
      </c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22">
        <v>1.0</v>
      </c>
      <c r="B227" s="22"/>
      <c r="C227" s="22"/>
      <c r="D227" s="22"/>
      <c r="E227" s="33"/>
      <c r="F227" s="43"/>
      <c r="G227" s="26"/>
      <c r="H227" s="26"/>
      <c r="I227" s="26"/>
      <c r="J227" s="29">
        <f t="shared" si="2"/>
        <v>0</v>
      </c>
      <c r="K227" s="30">
        <f t="shared" si="3"/>
        <v>0</v>
      </c>
      <c r="L227" s="26"/>
      <c r="M227" s="31" t="str">
        <f t="shared" si="6"/>
        <v>No</v>
      </c>
      <c r="N227" s="31" t="str">
        <f t="shared" si="5"/>
        <v>Yes</v>
      </c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22">
        <v>1.0</v>
      </c>
      <c r="B228" s="22"/>
      <c r="C228" s="22"/>
      <c r="D228" s="22"/>
      <c r="E228" s="33"/>
      <c r="F228" s="43"/>
      <c r="G228" s="26"/>
      <c r="H228" s="26"/>
      <c r="I228" s="26"/>
      <c r="J228" s="29">
        <f t="shared" si="2"/>
        <v>0</v>
      </c>
      <c r="K228" s="30">
        <f t="shared" si="3"/>
        <v>0</v>
      </c>
      <c r="L228" s="26"/>
      <c r="M228" s="31" t="str">
        <f t="shared" si="6"/>
        <v>No</v>
      </c>
      <c r="N228" s="31" t="str">
        <f t="shared" si="5"/>
        <v>Yes</v>
      </c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22">
        <v>1.0</v>
      </c>
      <c r="B229" s="22"/>
      <c r="C229" s="22"/>
      <c r="D229" s="22"/>
      <c r="E229" s="33"/>
      <c r="F229" s="43"/>
      <c r="G229" s="26"/>
      <c r="H229" s="26"/>
      <c r="I229" s="26"/>
      <c r="J229" s="29">
        <f t="shared" si="2"/>
        <v>0</v>
      </c>
      <c r="K229" s="30">
        <f t="shared" si="3"/>
        <v>0</v>
      </c>
      <c r="L229" s="26"/>
      <c r="M229" s="31" t="str">
        <f t="shared" si="6"/>
        <v>No</v>
      </c>
      <c r="N229" s="31" t="str">
        <f t="shared" si="5"/>
        <v>Yes</v>
      </c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22">
        <v>1.0</v>
      </c>
      <c r="B230" s="22"/>
      <c r="C230" s="22"/>
      <c r="D230" s="22"/>
      <c r="E230" s="33"/>
      <c r="F230" s="43"/>
      <c r="G230" s="26"/>
      <c r="H230" s="26"/>
      <c r="I230" s="26"/>
      <c r="J230" s="29">
        <f t="shared" si="2"/>
        <v>0</v>
      </c>
      <c r="K230" s="30">
        <f t="shared" si="3"/>
        <v>0</v>
      </c>
      <c r="L230" s="26"/>
      <c r="M230" s="31" t="str">
        <f t="shared" si="6"/>
        <v>No</v>
      </c>
      <c r="N230" s="31" t="str">
        <f t="shared" si="5"/>
        <v>Yes</v>
      </c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22">
        <v>1.0</v>
      </c>
      <c r="B231" s="22"/>
      <c r="C231" s="22"/>
      <c r="D231" s="22"/>
      <c r="E231" s="33"/>
      <c r="F231" s="43"/>
      <c r="G231" s="26"/>
      <c r="H231" s="26"/>
      <c r="I231" s="26"/>
      <c r="J231" s="29">
        <f t="shared" si="2"/>
        <v>0</v>
      </c>
      <c r="K231" s="30">
        <f t="shared" si="3"/>
        <v>0</v>
      </c>
      <c r="L231" s="26"/>
      <c r="M231" s="31" t="str">
        <f t="shared" si="6"/>
        <v>No</v>
      </c>
      <c r="N231" s="31" t="str">
        <f t="shared" si="5"/>
        <v>Yes</v>
      </c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22">
        <v>1.0</v>
      </c>
      <c r="B232" s="22"/>
      <c r="C232" s="22"/>
      <c r="D232" s="22"/>
      <c r="E232" s="33"/>
      <c r="F232" s="43"/>
      <c r="G232" s="26"/>
      <c r="H232" s="26"/>
      <c r="I232" s="26"/>
      <c r="J232" s="29">
        <f t="shared" si="2"/>
        <v>0</v>
      </c>
      <c r="K232" s="30">
        <f t="shared" si="3"/>
        <v>0</v>
      </c>
      <c r="L232" s="26"/>
      <c r="M232" s="31" t="str">
        <f t="shared" si="6"/>
        <v>No</v>
      </c>
      <c r="N232" s="31" t="str">
        <f t="shared" si="5"/>
        <v>Yes</v>
      </c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22">
        <v>1.0</v>
      </c>
      <c r="B233" s="22"/>
      <c r="C233" s="22"/>
      <c r="D233" s="22"/>
      <c r="E233" s="33"/>
      <c r="F233" s="43"/>
      <c r="G233" s="26"/>
      <c r="H233" s="26"/>
      <c r="I233" s="26"/>
      <c r="J233" s="29">
        <f t="shared" si="2"/>
        <v>0</v>
      </c>
      <c r="K233" s="30">
        <f t="shared" si="3"/>
        <v>0</v>
      </c>
      <c r="L233" s="26"/>
      <c r="M233" s="31" t="str">
        <f t="shared" si="6"/>
        <v>No</v>
      </c>
      <c r="N233" s="31" t="str">
        <f t="shared" si="5"/>
        <v>Yes</v>
      </c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22">
        <v>1.0</v>
      </c>
      <c r="B234" s="22"/>
      <c r="C234" s="22"/>
      <c r="D234" s="22"/>
      <c r="E234" s="33"/>
      <c r="F234" s="43"/>
      <c r="G234" s="26"/>
      <c r="H234" s="26"/>
      <c r="I234" s="26"/>
      <c r="J234" s="29">
        <f t="shared" si="2"/>
        <v>0</v>
      </c>
      <c r="K234" s="30">
        <f t="shared" si="3"/>
        <v>0</v>
      </c>
      <c r="L234" s="26"/>
      <c r="M234" s="31" t="str">
        <f t="shared" si="6"/>
        <v>No</v>
      </c>
      <c r="N234" s="31" t="str">
        <f t="shared" si="5"/>
        <v>Yes</v>
      </c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22">
        <v>1.0</v>
      </c>
      <c r="B235" s="22"/>
      <c r="C235" s="22"/>
      <c r="D235" s="22"/>
      <c r="E235" s="33"/>
      <c r="F235" s="43"/>
      <c r="G235" s="26"/>
      <c r="H235" s="26"/>
      <c r="I235" s="26"/>
      <c r="J235" s="29">
        <f t="shared" si="2"/>
        <v>0</v>
      </c>
      <c r="K235" s="30">
        <f t="shared" si="3"/>
        <v>0</v>
      </c>
      <c r="L235" s="26"/>
      <c r="M235" s="31" t="str">
        <f t="shared" si="6"/>
        <v>No</v>
      </c>
      <c r="N235" s="31" t="str">
        <f t="shared" si="5"/>
        <v>Yes</v>
      </c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22">
        <v>1.0</v>
      </c>
      <c r="B236" s="22"/>
      <c r="C236" s="22"/>
      <c r="D236" s="22"/>
      <c r="E236" s="33"/>
      <c r="F236" s="43"/>
      <c r="G236" s="26"/>
      <c r="H236" s="26"/>
      <c r="I236" s="26"/>
      <c r="J236" s="29">
        <f t="shared" si="2"/>
        <v>0</v>
      </c>
      <c r="K236" s="30">
        <f t="shared" si="3"/>
        <v>0</v>
      </c>
      <c r="L236" s="26"/>
      <c r="M236" s="31" t="str">
        <f t="shared" si="6"/>
        <v>No</v>
      </c>
      <c r="N236" s="31" t="str">
        <f t="shared" si="5"/>
        <v>Yes</v>
      </c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22">
        <v>1.0</v>
      </c>
      <c r="B237" s="22"/>
      <c r="C237" s="22"/>
      <c r="D237" s="22"/>
      <c r="E237" s="33"/>
      <c r="F237" s="43"/>
      <c r="G237" s="26"/>
      <c r="H237" s="26"/>
      <c r="I237" s="26"/>
      <c r="J237" s="29">
        <f t="shared" si="2"/>
        <v>0</v>
      </c>
      <c r="K237" s="30">
        <f t="shared" si="3"/>
        <v>0</v>
      </c>
      <c r="L237" s="26"/>
      <c r="M237" s="31" t="str">
        <f t="shared" si="6"/>
        <v>No</v>
      </c>
      <c r="N237" s="31" t="str">
        <f t="shared" si="5"/>
        <v>Yes</v>
      </c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22">
        <v>1.0</v>
      </c>
      <c r="B238" s="22"/>
      <c r="C238" s="22"/>
      <c r="D238" s="22"/>
      <c r="E238" s="33"/>
      <c r="F238" s="43"/>
      <c r="G238" s="26"/>
      <c r="H238" s="26"/>
      <c r="I238" s="26"/>
      <c r="J238" s="29">
        <f t="shared" si="2"/>
        <v>0</v>
      </c>
      <c r="K238" s="30">
        <f t="shared" si="3"/>
        <v>0</v>
      </c>
      <c r="L238" s="26"/>
      <c r="M238" s="31" t="str">
        <f t="shared" si="6"/>
        <v>No</v>
      </c>
      <c r="N238" s="31" t="str">
        <f t="shared" si="5"/>
        <v>Yes</v>
      </c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22">
        <v>1.0</v>
      </c>
      <c r="B239" s="22"/>
      <c r="C239" s="22"/>
      <c r="D239" s="22"/>
      <c r="E239" s="33"/>
      <c r="F239" s="43"/>
      <c r="G239" s="26"/>
      <c r="H239" s="26"/>
      <c r="I239" s="26"/>
      <c r="J239" s="29">
        <f t="shared" si="2"/>
        <v>0</v>
      </c>
      <c r="K239" s="30">
        <f t="shared" si="3"/>
        <v>0</v>
      </c>
      <c r="L239" s="26"/>
      <c r="M239" s="31" t="str">
        <f t="shared" si="6"/>
        <v>No</v>
      </c>
      <c r="N239" s="31" t="str">
        <f t="shared" si="5"/>
        <v>Yes</v>
      </c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22">
        <v>1.0</v>
      </c>
      <c r="B240" s="22"/>
      <c r="C240" s="22"/>
      <c r="D240" s="22"/>
      <c r="E240" s="33"/>
      <c r="F240" s="43"/>
      <c r="G240" s="26"/>
      <c r="H240" s="26"/>
      <c r="I240" s="26"/>
      <c r="J240" s="29">
        <f t="shared" si="2"/>
        <v>0</v>
      </c>
      <c r="K240" s="30">
        <f t="shared" si="3"/>
        <v>0</v>
      </c>
      <c r="L240" s="26"/>
      <c r="M240" s="31" t="str">
        <f t="shared" si="6"/>
        <v>No</v>
      </c>
      <c r="N240" s="31" t="str">
        <f t="shared" si="5"/>
        <v>Yes</v>
      </c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22">
        <v>1.0</v>
      </c>
      <c r="B241" s="22"/>
      <c r="C241" s="22"/>
      <c r="D241" s="22"/>
      <c r="E241" s="33"/>
      <c r="F241" s="43"/>
      <c r="G241" s="26"/>
      <c r="H241" s="26"/>
      <c r="I241" s="26"/>
      <c r="J241" s="29">
        <f t="shared" si="2"/>
        <v>0</v>
      </c>
      <c r="K241" s="30">
        <f t="shared" si="3"/>
        <v>0</v>
      </c>
      <c r="L241" s="26"/>
      <c r="M241" s="31" t="str">
        <f t="shared" si="6"/>
        <v>No</v>
      </c>
      <c r="N241" s="31" t="str">
        <f t="shared" si="5"/>
        <v>Yes</v>
      </c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22">
        <v>1.0</v>
      </c>
      <c r="B242" s="22"/>
      <c r="C242" s="22"/>
      <c r="D242" s="22"/>
      <c r="E242" s="33"/>
      <c r="F242" s="43"/>
      <c r="G242" s="26"/>
      <c r="H242" s="26"/>
      <c r="I242" s="26"/>
      <c r="J242" s="29">
        <f t="shared" si="2"/>
        <v>0</v>
      </c>
      <c r="K242" s="30">
        <f t="shared" si="3"/>
        <v>0</v>
      </c>
      <c r="L242" s="26"/>
      <c r="M242" s="31" t="str">
        <f t="shared" si="6"/>
        <v>No</v>
      </c>
      <c r="N242" s="31" t="str">
        <f t="shared" si="5"/>
        <v>Yes</v>
      </c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22">
        <v>1.0</v>
      </c>
      <c r="B243" s="22"/>
      <c r="C243" s="22"/>
      <c r="D243" s="22"/>
      <c r="E243" s="33"/>
      <c r="F243" s="43"/>
      <c r="G243" s="26"/>
      <c r="H243" s="26"/>
      <c r="I243" s="26"/>
      <c r="J243" s="29">
        <f t="shared" si="2"/>
        <v>0</v>
      </c>
      <c r="K243" s="30">
        <f t="shared" si="3"/>
        <v>0</v>
      </c>
      <c r="L243" s="26"/>
      <c r="M243" s="31" t="str">
        <f t="shared" si="6"/>
        <v>No</v>
      </c>
      <c r="N243" s="31" t="str">
        <f t="shared" si="5"/>
        <v>Yes</v>
      </c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22">
        <v>1.0</v>
      </c>
      <c r="B244" s="22"/>
      <c r="C244" s="22"/>
      <c r="D244" s="22"/>
      <c r="E244" s="33"/>
      <c r="F244" s="43"/>
      <c r="G244" s="26"/>
      <c r="H244" s="26"/>
      <c r="I244" s="26"/>
      <c r="J244" s="29">
        <f t="shared" si="2"/>
        <v>0</v>
      </c>
      <c r="K244" s="30">
        <f t="shared" si="3"/>
        <v>0</v>
      </c>
      <c r="L244" s="26"/>
      <c r="M244" s="31" t="str">
        <f t="shared" si="6"/>
        <v>No</v>
      </c>
      <c r="N244" s="31" t="str">
        <f t="shared" si="5"/>
        <v>Yes</v>
      </c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22">
        <v>1.0</v>
      </c>
      <c r="B245" s="22"/>
      <c r="C245" s="22"/>
      <c r="D245" s="22"/>
      <c r="E245" s="33"/>
      <c r="F245" s="43"/>
      <c r="G245" s="26"/>
      <c r="H245" s="26"/>
      <c r="I245" s="26"/>
      <c r="J245" s="29">
        <f t="shared" si="2"/>
        <v>0</v>
      </c>
      <c r="K245" s="30">
        <f t="shared" si="3"/>
        <v>0</v>
      </c>
      <c r="L245" s="26"/>
      <c r="M245" s="31" t="str">
        <f t="shared" si="6"/>
        <v>No</v>
      </c>
      <c r="N245" s="31" t="str">
        <f t="shared" si="5"/>
        <v>Yes</v>
      </c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22">
        <v>1.0</v>
      </c>
      <c r="B246" s="22"/>
      <c r="C246" s="22"/>
      <c r="D246" s="22"/>
      <c r="E246" s="33"/>
      <c r="F246" s="43"/>
      <c r="G246" s="26"/>
      <c r="H246" s="26"/>
      <c r="I246" s="26"/>
      <c r="J246" s="29">
        <f t="shared" si="2"/>
        <v>0</v>
      </c>
      <c r="K246" s="30">
        <f t="shared" si="3"/>
        <v>0</v>
      </c>
      <c r="L246" s="26"/>
      <c r="M246" s="31" t="str">
        <f t="shared" si="6"/>
        <v>No</v>
      </c>
      <c r="N246" s="31" t="str">
        <f t="shared" si="5"/>
        <v>Yes</v>
      </c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22">
        <v>1.0</v>
      </c>
      <c r="B247" s="22"/>
      <c r="C247" s="22"/>
      <c r="D247" s="22"/>
      <c r="E247" s="33"/>
      <c r="F247" s="43"/>
      <c r="G247" s="26"/>
      <c r="H247" s="26"/>
      <c r="I247" s="26"/>
      <c r="J247" s="29">
        <f t="shared" si="2"/>
        <v>0</v>
      </c>
      <c r="K247" s="30">
        <f t="shared" si="3"/>
        <v>0</v>
      </c>
      <c r="L247" s="26"/>
      <c r="M247" s="31" t="str">
        <f t="shared" si="6"/>
        <v>No</v>
      </c>
      <c r="N247" s="31" t="str">
        <f t="shared" si="5"/>
        <v>Yes</v>
      </c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22">
        <v>1.0</v>
      </c>
      <c r="B248" s="22"/>
      <c r="C248" s="22"/>
      <c r="D248" s="22"/>
      <c r="E248" s="33"/>
      <c r="F248" s="43"/>
      <c r="G248" s="26"/>
      <c r="H248" s="26"/>
      <c r="I248" s="26"/>
      <c r="J248" s="29">
        <f t="shared" si="2"/>
        <v>0</v>
      </c>
      <c r="K248" s="30">
        <f t="shared" si="3"/>
        <v>0</v>
      </c>
      <c r="L248" s="26"/>
      <c r="M248" s="31" t="str">
        <f t="shared" si="6"/>
        <v>No</v>
      </c>
      <c r="N248" s="31" t="str">
        <f t="shared" si="5"/>
        <v>Yes</v>
      </c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22">
        <v>1.0</v>
      </c>
      <c r="B249" s="22"/>
      <c r="C249" s="22"/>
      <c r="D249" s="22"/>
      <c r="E249" s="33"/>
      <c r="F249" s="43"/>
      <c r="G249" s="26"/>
      <c r="H249" s="26"/>
      <c r="I249" s="26"/>
      <c r="J249" s="29">
        <f t="shared" si="2"/>
        <v>0</v>
      </c>
      <c r="K249" s="30">
        <f t="shared" si="3"/>
        <v>0</v>
      </c>
      <c r="L249" s="26"/>
      <c r="M249" s="31" t="str">
        <f t="shared" si="6"/>
        <v>No</v>
      </c>
      <c r="N249" s="31" t="str">
        <f t="shared" si="5"/>
        <v>Yes</v>
      </c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22">
        <v>1.0</v>
      </c>
      <c r="B250" s="22"/>
      <c r="C250" s="22"/>
      <c r="D250" s="22"/>
      <c r="E250" s="33"/>
      <c r="F250" s="43"/>
      <c r="G250" s="26"/>
      <c r="H250" s="26"/>
      <c r="I250" s="26"/>
      <c r="J250" s="29">
        <f t="shared" si="2"/>
        <v>0</v>
      </c>
      <c r="K250" s="30">
        <f t="shared" si="3"/>
        <v>0</v>
      </c>
      <c r="L250" s="26"/>
      <c r="M250" s="31" t="str">
        <f t="shared" si="6"/>
        <v>No</v>
      </c>
      <c r="N250" s="31" t="str">
        <f t="shared" si="5"/>
        <v>Yes</v>
      </c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22">
        <v>1.0</v>
      </c>
      <c r="B251" s="22"/>
      <c r="C251" s="22"/>
      <c r="D251" s="22"/>
      <c r="E251" s="33"/>
      <c r="F251" s="43"/>
      <c r="G251" s="26"/>
      <c r="H251" s="26"/>
      <c r="I251" s="26"/>
      <c r="J251" s="29">
        <f t="shared" si="2"/>
        <v>0</v>
      </c>
      <c r="K251" s="30">
        <f t="shared" si="3"/>
        <v>0</v>
      </c>
      <c r="L251" s="26"/>
      <c r="M251" s="31" t="str">
        <f t="shared" si="6"/>
        <v>No</v>
      </c>
      <c r="N251" s="31" t="str">
        <f t="shared" si="5"/>
        <v>Yes</v>
      </c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22">
        <v>1.0</v>
      </c>
      <c r="B252" s="22"/>
      <c r="C252" s="22"/>
      <c r="D252" s="22"/>
      <c r="E252" s="33"/>
      <c r="F252" s="43"/>
      <c r="G252" s="26"/>
      <c r="H252" s="26"/>
      <c r="I252" s="26"/>
      <c r="J252" s="29">
        <f t="shared" si="2"/>
        <v>0</v>
      </c>
      <c r="K252" s="30">
        <f t="shared" si="3"/>
        <v>0</v>
      </c>
      <c r="L252" s="26"/>
      <c r="M252" s="31" t="str">
        <f t="shared" si="6"/>
        <v>No</v>
      </c>
      <c r="N252" s="31" t="str">
        <f t="shared" si="5"/>
        <v>Yes</v>
      </c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22">
        <v>1.0</v>
      </c>
      <c r="B253" s="22"/>
      <c r="C253" s="22"/>
      <c r="D253" s="22"/>
      <c r="E253" s="33"/>
      <c r="F253" s="43"/>
      <c r="G253" s="26"/>
      <c r="H253" s="26"/>
      <c r="I253" s="26"/>
      <c r="J253" s="29">
        <f t="shared" si="2"/>
        <v>0</v>
      </c>
      <c r="K253" s="30">
        <f t="shared" si="3"/>
        <v>0</v>
      </c>
      <c r="L253" s="26"/>
      <c r="M253" s="31" t="str">
        <f t="shared" si="6"/>
        <v>No</v>
      </c>
      <c r="N253" s="31" t="str">
        <f t="shared" si="5"/>
        <v>Yes</v>
      </c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22">
        <v>1.0</v>
      </c>
      <c r="B254" s="22"/>
      <c r="C254" s="22"/>
      <c r="D254" s="22"/>
      <c r="E254" s="33"/>
      <c r="F254" s="43"/>
      <c r="G254" s="26"/>
      <c r="H254" s="26"/>
      <c r="I254" s="26"/>
      <c r="J254" s="29">
        <f t="shared" si="2"/>
        <v>0</v>
      </c>
      <c r="K254" s="30">
        <f t="shared" si="3"/>
        <v>0</v>
      </c>
      <c r="L254" s="26"/>
      <c r="M254" s="31" t="str">
        <f t="shared" si="6"/>
        <v>No</v>
      </c>
      <c r="N254" s="31" t="str">
        <f t="shared" si="5"/>
        <v>Yes</v>
      </c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22">
        <v>1.0</v>
      </c>
      <c r="B255" s="22"/>
      <c r="C255" s="22"/>
      <c r="D255" s="22"/>
      <c r="E255" s="33"/>
      <c r="F255" s="43"/>
      <c r="G255" s="26"/>
      <c r="H255" s="26"/>
      <c r="I255" s="26"/>
      <c r="J255" s="29">
        <f t="shared" si="2"/>
        <v>0</v>
      </c>
      <c r="K255" s="30">
        <f t="shared" si="3"/>
        <v>0</v>
      </c>
      <c r="L255" s="26"/>
      <c r="M255" s="31" t="str">
        <f t="shared" si="6"/>
        <v>No</v>
      </c>
      <c r="N255" s="31" t="str">
        <f t="shared" si="5"/>
        <v>Yes</v>
      </c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22">
        <v>1.0</v>
      </c>
      <c r="B256" s="22"/>
      <c r="C256" s="22"/>
      <c r="D256" s="22"/>
      <c r="E256" s="33"/>
      <c r="F256" s="43"/>
      <c r="G256" s="26"/>
      <c r="H256" s="26"/>
      <c r="I256" s="26"/>
      <c r="J256" s="29">
        <f t="shared" si="2"/>
        <v>0</v>
      </c>
      <c r="K256" s="30">
        <f t="shared" si="3"/>
        <v>0</v>
      </c>
      <c r="L256" s="26"/>
      <c r="M256" s="31" t="str">
        <f t="shared" si="6"/>
        <v>No</v>
      </c>
      <c r="N256" s="31" t="str">
        <f t="shared" si="5"/>
        <v>Yes</v>
      </c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22">
        <v>1.0</v>
      </c>
      <c r="B257" s="22"/>
      <c r="C257" s="22"/>
      <c r="D257" s="22"/>
      <c r="E257" s="33"/>
      <c r="F257" s="43"/>
      <c r="G257" s="26"/>
      <c r="H257" s="26"/>
      <c r="I257" s="26"/>
      <c r="J257" s="29">
        <f t="shared" si="2"/>
        <v>0</v>
      </c>
      <c r="K257" s="30">
        <f t="shared" si="3"/>
        <v>0</v>
      </c>
      <c r="L257" s="26"/>
      <c r="M257" s="31" t="str">
        <f t="shared" si="6"/>
        <v>No</v>
      </c>
      <c r="N257" s="31" t="str">
        <f t="shared" si="5"/>
        <v>Yes</v>
      </c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22">
        <v>1.0</v>
      </c>
      <c r="B258" s="22"/>
      <c r="C258" s="22"/>
      <c r="D258" s="22"/>
      <c r="E258" s="33"/>
      <c r="F258" s="43"/>
      <c r="G258" s="26"/>
      <c r="H258" s="26"/>
      <c r="I258" s="26"/>
      <c r="J258" s="29">
        <f t="shared" si="2"/>
        <v>0</v>
      </c>
      <c r="K258" s="30">
        <f t="shared" si="3"/>
        <v>0</v>
      </c>
      <c r="L258" s="26"/>
      <c r="M258" s="31" t="str">
        <f t="shared" si="6"/>
        <v>No</v>
      </c>
      <c r="N258" s="31" t="str">
        <f t="shared" si="5"/>
        <v>Yes</v>
      </c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22">
        <v>1.0</v>
      </c>
      <c r="B259" s="22"/>
      <c r="C259" s="22"/>
      <c r="D259" s="22"/>
      <c r="E259" s="33"/>
      <c r="F259" s="43"/>
      <c r="G259" s="26"/>
      <c r="H259" s="26"/>
      <c r="I259" s="26"/>
      <c r="J259" s="29">
        <f t="shared" si="2"/>
        <v>0</v>
      </c>
      <c r="K259" s="30">
        <f t="shared" si="3"/>
        <v>0</v>
      </c>
      <c r="L259" s="26"/>
      <c r="M259" s="31" t="str">
        <f t="shared" si="6"/>
        <v>No</v>
      </c>
      <c r="N259" s="31" t="str">
        <f t="shared" si="5"/>
        <v>Yes</v>
      </c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22">
        <v>1.0</v>
      </c>
      <c r="B260" s="22"/>
      <c r="C260" s="22"/>
      <c r="D260" s="22"/>
      <c r="E260" s="33"/>
      <c r="F260" s="43"/>
      <c r="G260" s="26"/>
      <c r="H260" s="26"/>
      <c r="I260" s="26"/>
      <c r="J260" s="29">
        <f t="shared" si="2"/>
        <v>0</v>
      </c>
      <c r="K260" s="30">
        <f t="shared" si="3"/>
        <v>0</v>
      </c>
      <c r="L260" s="26"/>
      <c r="M260" s="31" t="str">
        <f t="shared" si="6"/>
        <v>No</v>
      </c>
      <c r="N260" s="31" t="str">
        <f t="shared" si="5"/>
        <v>Yes</v>
      </c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22">
        <v>1.0</v>
      </c>
      <c r="B261" s="22"/>
      <c r="C261" s="22"/>
      <c r="D261" s="22"/>
      <c r="E261" s="33"/>
      <c r="F261" s="43"/>
      <c r="G261" s="26"/>
      <c r="H261" s="26"/>
      <c r="I261" s="26"/>
      <c r="J261" s="29">
        <f t="shared" si="2"/>
        <v>0</v>
      </c>
      <c r="K261" s="30">
        <f t="shared" si="3"/>
        <v>0</v>
      </c>
      <c r="L261" s="26"/>
      <c r="M261" s="31" t="str">
        <f t="shared" si="6"/>
        <v>No</v>
      </c>
      <c r="N261" s="31" t="str">
        <f t="shared" si="5"/>
        <v>Yes</v>
      </c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22">
        <v>1.0</v>
      </c>
      <c r="B262" s="22"/>
      <c r="C262" s="22"/>
      <c r="D262" s="22"/>
      <c r="E262" s="33"/>
      <c r="F262" s="43"/>
      <c r="G262" s="26"/>
      <c r="H262" s="26"/>
      <c r="I262" s="26"/>
      <c r="J262" s="29">
        <f t="shared" si="2"/>
        <v>0</v>
      </c>
      <c r="K262" s="30">
        <f t="shared" si="3"/>
        <v>0</v>
      </c>
      <c r="L262" s="26"/>
      <c r="M262" s="31" t="str">
        <f t="shared" si="6"/>
        <v>No</v>
      </c>
      <c r="N262" s="31" t="str">
        <f t="shared" si="5"/>
        <v>Yes</v>
      </c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22">
        <v>1.0</v>
      </c>
      <c r="B263" s="22"/>
      <c r="C263" s="22"/>
      <c r="D263" s="22"/>
      <c r="E263" s="33"/>
      <c r="F263" s="43"/>
      <c r="G263" s="26"/>
      <c r="H263" s="26"/>
      <c r="I263" s="26"/>
      <c r="J263" s="29">
        <f t="shared" si="2"/>
        <v>0</v>
      </c>
      <c r="K263" s="30">
        <f t="shared" si="3"/>
        <v>0</v>
      </c>
      <c r="L263" s="26"/>
      <c r="M263" s="31" t="str">
        <f t="shared" si="6"/>
        <v>No</v>
      </c>
      <c r="N263" s="31" t="str">
        <f t="shared" si="5"/>
        <v>Yes</v>
      </c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22">
        <v>1.0</v>
      </c>
      <c r="B264" s="22"/>
      <c r="C264" s="22"/>
      <c r="D264" s="22"/>
      <c r="E264" s="33"/>
      <c r="F264" s="43"/>
      <c r="G264" s="26"/>
      <c r="H264" s="26"/>
      <c r="I264" s="26"/>
      <c r="J264" s="29">
        <f t="shared" si="2"/>
        <v>0</v>
      </c>
      <c r="K264" s="30">
        <f t="shared" si="3"/>
        <v>0</v>
      </c>
      <c r="L264" s="26"/>
      <c r="M264" s="31" t="str">
        <f t="shared" si="6"/>
        <v>No</v>
      </c>
      <c r="N264" s="31" t="str">
        <f t="shared" si="5"/>
        <v>Yes</v>
      </c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22">
        <v>1.0</v>
      </c>
      <c r="B265" s="22"/>
      <c r="C265" s="22"/>
      <c r="D265" s="22"/>
      <c r="E265" s="33"/>
      <c r="F265" s="43"/>
      <c r="G265" s="26"/>
      <c r="H265" s="26"/>
      <c r="I265" s="26"/>
      <c r="J265" s="29">
        <f t="shared" si="2"/>
        <v>0</v>
      </c>
      <c r="K265" s="30">
        <f t="shared" si="3"/>
        <v>0</v>
      </c>
      <c r="L265" s="26"/>
      <c r="M265" s="31" t="str">
        <f t="shared" si="6"/>
        <v>No</v>
      </c>
      <c r="N265" s="31" t="str">
        <f t="shared" si="5"/>
        <v>Yes</v>
      </c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22">
        <v>1.0</v>
      </c>
      <c r="B266" s="22"/>
      <c r="C266" s="22"/>
      <c r="D266" s="22"/>
      <c r="E266" s="33"/>
      <c r="F266" s="43"/>
      <c r="G266" s="26"/>
      <c r="H266" s="26"/>
      <c r="I266" s="26"/>
      <c r="J266" s="29">
        <f t="shared" si="2"/>
        <v>0</v>
      </c>
      <c r="K266" s="30">
        <f t="shared" si="3"/>
        <v>0</v>
      </c>
      <c r="L266" s="26"/>
      <c r="M266" s="31" t="str">
        <f t="shared" si="6"/>
        <v>No</v>
      </c>
      <c r="N266" s="31" t="str">
        <f t="shared" si="5"/>
        <v>Yes</v>
      </c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22">
        <v>1.0</v>
      </c>
      <c r="B267" s="22"/>
      <c r="C267" s="22"/>
      <c r="D267" s="22"/>
      <c r="E267" s="33"/>
      <c r="F267" s="43"/>
      <c r="G267" s="26"/>
      <c r="H267" s="26"/>
      <c r="I267" s="26"/>
      <c r="J267" s="29">
        <f t="shared" si="2"/>
        <v>0</v>
      </c>
      <c r="K267" s="30">
        <f t="shared" si="3"/>
        <v>0</v>
      </c>
      <c r="L267" s="26"/>
      <c r="M267" s="31" t="str">
        <f t="shared" si="6"/>
        <v>No</v>
      </c>
      <c r="N267" s="31" t="str">
        <f t="shared" si="5"/>
        <v>Yes</v>
      </c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22">
        <v>1.0</v>
      </c>
      <c r="B268" s="22"/>
      <c r="C268" s="22"/>
      <c r="D268" s="22"/>
      <c r="E268" s="33"/>
      <c r="F268" s="43"/>
      <c r="G268" s="26"/>
      <c r="H268" s="26"/>
      <c r="I268" s="26"/>
      <c r="J268" s="29">
        <f t="shared" si="2"/>
        <v>0</v>
      </c>
      <c r="K268" s="30">
        <f t="shared" si="3"/>
        <v>0</v>
      </c>
      <c r="L268" s="26"/>
      <c r="M268" s="31" t="str">
        <f t="shared" si="6"/>
        <v>No</v>
      </c>
      <c r="N268" s="31" t="str">
        <f t="shared" si="5"/>
        <v>Yes</v>
      </c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22">
        <v>1.0</v>
      </c>
      <c r="B269" s="22"/>
      <c r="C269" s="22"/>
      <c r="D269" s="22"/>
      <c r="E269" s="33"/>
      <c r="F269" s="43"/>
      <c r="G269" s="26"/>
      <c r="H269" s="26"/>
      <c r="I269" s="26"/>
      <c r="J269" s="29">
        <f t="shared" si="2"/>
        <v>0</v>
      </c>
      <c r="K269" s="30">
        <f t="shared" si="3"/>
        <v>0</v>
      </c>
      <c r="L269" s="26"/>
      <c r="M269" s="31" t="str">
        <f t="shared" si="6"/>
        <v>No</v>
      </c>
      <c r="N269" s="31" t="str">
        <f t="shared" si="5"/>
        <v>Yes</v>
      </c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22">
        <v>1.0</v>
      </c>
      <c r="B270" s="22"/>
      <c r="C270" s="22"/>
      <c r="D270" s="22"/>
      <c r="E270" s="33"/>
      <c r="F270" s="43"/>
      <c r="G270" s="26"/>
      <c r="H270" s="26"/>
      <c r="I270" s="26"/>
      <c r="J270" s="29">
        <f t="shared" si="2"/>
        <v>0</v>
      </c>
      <c r="K270" s="30">
        <f t="shared" si="3"/>
        <v>0</v>
      </c>
      <c r="L270" s="26"/>
      <c r="M270" s="31" t="str">
        <f t="shared" si="6"/>
        <v>No</v>
      </c>
      <c r="N270" s="31" t="str">
        <f t="shared" si="5"/>
        <v>Yes</v>
      </c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22">
        <v>1.0</v>
      </c>
      <c r="B271" s="22"/>
      <c r="C271" s="22"/>
      <c r="D271" s="22"/>
      <c r="E271" s="33"/>
      <c r="F271" s="43"/>
      <c r="G271" s="26"/>
      <c r="H271" s="26"/>
      <c r="I271" s="26"/>
      <c r="J271" s="29">
        <f t="shared" si="2"/>
        <v>0</v>
      </c>
      <c r="K271" s="30">
        <f t="shared" si="3"/>
        <v>0</v>
      </c>
      <c r="L271" s="26"/>
      <c r="M271" s="31" t="str">
        <f t="shared" si="6"/>
        <v>No</v>
      </c>
      <c r="N271" s="31" t="str">
        <f t="shared" si="5"/>
        <v>Yes</v>
      </c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22">
        <v>1.0</v>
      </c>
      <c r="B272" s="22"/>
      <c r="C272" s="22"/>
      <c r="D272" s="22"/>
      <c r="E272" s="33"/>
      <c r="F272" s="43"/>
      <c r="G272" s="26"/>
      <c r="H272" s="26"/>
      <c r="I272" s="26"/>
      <c r="J272" s="29">
        <f t="shared" si="2"/>
        <v>0</v>
      </c>
      <c r="K272" s="30">
        <f t="shared" si="3"/>
        <v>0</v>
      </c>
      <c r="L272" s="26"/>
      <c r="M272" s="31" t="str">
        <f t="shared" si="6"/>
        <v>No</v>
      </c>
      <c r="N272" s="31" t="str">
        <f t="shared" si="5"/>
        <v>Yes</v>
      </c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22">
        <v>1.0</v>
      </c>
      <c r="B273" s="22"/>
      <c r="C273" s="22"/>
      <c r="D273" s="22"/>
      <c r="E273" s="33"/>
      <c r="F273" s="43"/>
      <c r="G273" s="26"/>
      <c r="H273" s="26"/>
      <c r="I273" s="26"/>
      <c r="J273" s="29">
        <f t="shared" si="2"/>
        <v>0</v>
      </c>
      <c r="K273" s="30">
        <f t="shared" si="3"/>
        <v>0</v>
      </c>
      <c r="L273" s="26"/>
      <c r="M273" s="31" t="str">
        <f t="shared" si="6"/>
        <v>No</v>
      </c>
      <c r="N273" s="31" t="str">
        <f t="shared" si="5"/>
        <v>Yes</v>
      </c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22">
        <v>1.0</v>
      </c>
      <c r="B274" s="22"/>
      <c r="C274" s="22"/>
      <c r="D274" s="22"/>
      <c r="E274" s="33"/>
      <c r="F274" s="43"/>
      <c r="G274" s="26"/>
      <c r="H274" s="26"/>
      <c r="I274" s="26"/>
      <c r="J274" s="29">
        <f t="shared" si="2"/>
        <v>0</v>
      </c>
      <c r="K274" s="30">
        <f t="shared" si="3"/>
        <v>0</v>
      </c>
      <c r="L274" s="26"/>
      <c r="M274" s="31" t="str">
        <f t="shared" si="6"/>
        <v>No</v>
      </c>
      <c r="N274" s="31" t="str">
        <f t="shared" si="5"/>
        <v>Yes</v>
      </c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22">
        <v>1.0</v>
      </c>
      <c r="B275" s="22"/>
      <c r="C275" s="22"/>
      <c r="D275" s="22"/>
      <c r="E275" s="33"/>
      <c r="F275" s="43"/>
      <c r="G275" s="26"/>
      <c r="H275" s="26"/>
      <c r="I275" s="26"/>
      <c r="J275" s="29">
        <f t="shared" si="2"/>
        <v>0</v>
      </c>
      <c r="K275" s="30">
        <f t="shared" si="3"/>
        <v>0</v>
      </c>
      <c r="L275" s="26"/>
      <c r="M275" s="31" t="str">
        <f t="shared" si="6"/>
        <v>No</v>
      </c>
      <c r="N275" s="31" t="str">
        <f t="shared" si="5"/>
        <v>Yes</v>
      </c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22">
        <v>1.0</v>
      </c>
      <c r="B276" s="22"/>
      <c r="C276" s="22"/>
      <c r="D276" s="22"/>
      <c r="E276" s="33"/>
      <c r="F276" s="43"/>
      <c r="G276" s="26"/>
      <c r="H276" s="26"/>
      <c r="I276" s="26"/>
      <c r="J276" s="29">
        <f t="shared" si="2"/>
        <v>0</v>
      </c>
      <c r="K276" s="30">
        <f t="shared" si="3"/>
        <v>0</v>
      </c>
      <c r="L276" s="26"/>
      <c r="M276" s="31" t="str">
        <f t="shared" si="6"/>
        <v>No</v>
      </c>
      <c r="N276" s="31" t="str">
        <f t="shared" si="5"/>
        <v>Yes</v>
      </c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22">
        <v>1.0</v>
      </c>
      <c r="B277" s="22"/>
      <c r="C277" s="22"/>
      <c r="D277" s="22"/>
      <c r="E277" s="33"/>
      <c r="F277" s="43"/>
      <c r="G277" s="26"/>
      <c r="H277" s="26"/>
      <c r="I277" s="26"/>
      <c r="J277" s="29">
        <f t="shared" si="2"/>
        <v>0</v>
      </c>
      <c r="K277" s="30">
        <f t="shared" si="3"/>
        <v>0</v>
      </c>
      <c r="L277" s="26"/>
      <c r="M277" s="31" t="str">
        <f t="shared" si="6"/>
        <v>No</v>
      </c>
      <c r="N277" s="31" t="str">
        <f t="shared" si="5"/>
        <v>Yes</v>
      </c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22">
        <v>1.0</v>
      </c>
      <c r="B278" s="22"/>
      <c r="C278" s="22"/>
      <c r="D278" s="22"/>
      <c r="E278" s="33"/>
      <c r="F278" s="43"/>
      <c r="G278" s="26"/>
      <c r="H278" s="26"/>
      <c r="I278" s="26"/>
      <c r="J278" s="29">
        <f t="shared" si="2"/>
        <v>0</v>
      </c>
      <c r="K278" s="30">
        <f t="shared" si="3"/>
        <v>0</v>
      </c>
      <c r="L278" s="26"/>
      <c r="M278" s="31" t="str">
        <f t="shared" si="6"/>
        <v>No</v>
      </c>
      <c r="N278" s="31" t="str">
        <f t="shared" si="5"/>
        <v>Yes</v>
      </c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22">
        <v>1.0</v>
      </c>
      <c r="B279" s="22"/>
      <c r="C279" s="22"/>
      <c r="D279" s="22"/>
      <c r="E279" s="33"/>
      <c r="F279" s="43"/>
      <c r="G279" s="26"/>
      <c r="H279" s="26"/>
      <c r="I279" s="26"/>
      <c r="J279" s="29">
        <f t="shared" si="2"/>
        <v>0</v>
      </c>
      <c r="K279" s="30">
        <f t="shared" si="3"/>
        <v>0</v>
      </c>
      <c r="L279" s="26"/>
      <c r="M279" s="31" t="str">
        <f t="shared" si="6"/>
        <v>No</v>
      </c>
      <c r="N279" s="31" t="str">
        <f t="shared" si="5"/>
        <v>Yes</v>
      </c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22">
        <v>1.0</v>
      </c>
      <c r="B280" s="22"/>
      <c r="C280" s="22"/>
      <c r="D280" s="22"/>
      <c r="E280" s="33"/>
      <c r="F280" s="43"/>
      <c r="G280" s="26"/>
      <c r="H280" s="26"/>
      <c r="I280" s="26"/>
      <c r="J280" s="29">
        <f t="shared" si="2"/>
        <v>0</v>
      </c>
      <c r="K280" s="30">
        <f t="shared" si="3"/>
        <v>0</v>
      </c>
      <c r="L280" s="26"/>
      <c r="M280" s="31" t="str">
        <f t="shared" si="6"/>
        <v>No</v>
      </c>
      <c r="N280" s="31" t="str">
        <f t="shared" si="5"/>
        <v>Yes</v>
      </c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22">
        <v>1.0</v>
      </c>
      <c r="B281" s="22"/>
      <c r="C281" s="22"/>
      <c r="D281" s="22"/>
      <c r="E281" s="33"/>
      <c r="F281" s="43"/>
      <c r="G281" s="26"/>
      <c r="H281" s="26"/>
      <c r="I281" s="26"/>
      <c r="J281" s="29">
        <f t="shared" si="2"/>
        <v>0</v>
      </c>
      <c r="K281" s="30">
        <f t="shared" si="3"/>
        <v>0</v>
      </c>
      <c r="L281" s="26"/>
      <c r="M281" s="31" t="str">
        <f t="shared" si="6"/>
        <v>No</v>
      </c>
      <c r="N281" s="31" t="str">
        <f t="shared" si="5"/>
        <v>Yes</v>
      </c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22">
        <v>1.0</v>
      </c>
      <c r="B282" s="22"/>
      <c r="C282" s="22"/>
      <c r="D282" s="22"/>
      <c r="E282" s="33"/>
      <c r="F282" s="43"/>
      <c r="G282" s="26"/>
      <c r="H282" s="26"/>
      <c r="I282" s="26"/>
      <c r="J282" s="29">
        <f t="shared" si="2"/>
        <v>0</v>
      </c>
      <c r="K282" s="30">
        <f t="shared" si="3"/>
        <v>0</v>
      </c>
      <c r="L282" s="26"/>
      <c r="M282" s="31" t="str">
        <f t="shared" si="6"/>
        <v>No</v>
      </c>
      <c r="N282" s="31" t="str">
        <f t="shared" si="5"/>
        <v>Yes</v>
      </c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22">
        <v>1.0</v>
      </c>
      <c r="B283" s="22"/>
      <c r="C283" s="22"/>
      <c r="D283" s="22"/>
      <c r="E283" s="33"/>
      <c r="F283" s="43"/>
      <c r="G283" s="26"/>
      <c r="H283" s="26"/>
      <c r="I283" s="26"/>
      <c r="J283" s="29">
        <f t="shared" si="2"/>
        <v>0</v>
      </c>
      <c r="K283" s="30">
        <f t="shared" si="3"/>
        <v>0</v>
      </c>
      <c r="L283" s="26"/>
      <c r="M283" s="31" t="str">
        <f t="shared" si="6"/>
        <v>No</v>
      </c>
      <c r="N283" s="31" t="str">
        <f t="shared" si="5"/>
        <v>Yes</v>
      </c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22">
        <v>1.0</v>
      </c>
      <c r="B284" s="22"/>
      <c r="C284" s="22"/>
      <c r="D284" s="22"/>
      <c r="E284" s="33"/>
      <c r="F284" s="43"/>
      <c r="G284" s="26"/>
      <c r="H284" s="26"/>
      <c r="I284" s="26"/>
      <c r="J284" s="29">
        <f t="shared" si="2"/>
        <v>0</v>
      </c>
      <c r="K284" s="30">
        <f t="shared" si="3"/>
        <v>0</v>
      </c>
      <c r="L284" s="26"/>
      <c r="M284" s="31" t="str">
        <f t="shared" si="6"/>
        <v>No</v>
      </c>
      <c r="N284" s="31" t="str">
        <f t="shared" si="5"/>
        <v>Yes</v>
      </c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22">
        <v>1.0</v>
      </c>
      <c r="B285" s="22"/>
      <c r="C285" s="22"/>
      <c r="D285" s="22"/>
      <c r="E285" s="33"/>
      <c r="F285" s="43"/>
      <c r="G285" s="26"/>
      <c r="H285" s="26"/>
      <c r="I285" s="26"/>
      <c r="J285" s="29">
        <f t="shared" si="2"/>
        <v>0</v>
      </c>
      <c r="K285" s="30">
        <f t="shared" si="3"/>
        <v>0</v>
      </c>
      <c r="L285" s="26"/>
      <c r="M285" s="31" t="str">
        <f t="shared" si="6"/>
        <v>No</v>
      </c>
      <c r="N285" s="31" t="str">
        <f t="shared" si="5"/>
        <v>Yes</v>
      </c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22">
        <v>1.0</v>
      </c>
      <c r="B286" s="22"/>
      <c r="C286" s="22"/>
      <c r="D286" s="22"/>
      <c r="E286" s="33"/>
      <c r="F286" s="43"/>
      <c r="G286" s="26"/>
      <c r="H286" s="26"/>
      <c r="I286" s="26"/>
      <c r="J286" s="29">
        <f t="shared" si="2"/>
        <v>0</v>
      </c>
      <c r="K286" s="30">
        <f t="shared" si="3"/>
        <v>0</v>
      </c>
      <c r="L286" s="26"/>
      <c r="M286" s="31" t="str">
        <f t="shared" si="6"/>
        <v>No</v>
      </c>
      <c r="N286" s="31" t="str">
        <f t="shared" si="5"/>
        <v>Yes</v>
      </c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22">
        <v>1.0</v>
      </c>
      <c r="B287" s="22"/>
      <c r="C287" s="22"/>
      <c r="D287" s="22"/>
      <c r="E287" s="33"/>
      <c r="F287" s="43"/>
      <c r="G287" s="26"/>
      <c r="H287" s="26"/>
      <c r="I287" s="26"/>
      <c r="J287" s="29">
        <f t="shared" si="2"/>
        <v>0</v>
      </c>
      <c r="K287" s="30">
        <f t="shared" si="3"/>
        <v>0</v>
      </c>
      <c r="L287" s="26"/>
      <c r="M287" s="31" t="str">
        <f t="shared" si="6"/>
        <v>No</v>
      </c>
      <c r="N287" s="31" t="str">
        <f t="shared" si="5"/>
        <v>Yes</v>
      </c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22">
        <v>1.0</v>
      </c>
      <c r="B288" s="22"/>
      <c r="C288" s="22"/>
      <c r="D288" s="22"/>
      <c r="E288" s="33"/>
      <c r="F288" s="43"/>
      <c r="G288" s="26"/>
      <c r="H288" s="26"/>
      <c r="I288" s="26"/>
      <c r="J288" s="29">
        <f t="shared" si="2"/>
        <v>0</v>
      </c>
      <c r="K288" s="30">
        <f t="shared" si="3"/>
        <v>0</v>
      </c>
      <c r="L288" s="26"/>
      <c r="M288" s="31" t="str">
        <f t="shared" si="6"/>
        <v>No</v>
      </c>
      <c r="N288" s="31" t="str">
        <f t="shared" si="5"/>
        <v>Yes</v>
      </c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22">
        <v>1.0</v>
      </c>
      <c r="B289" s="22"/>
      <c r="C289" s="22"/>
      <c r="D289" s="22"/>
      <c r="E289" s="33"/>
      <c r="F289" s="43"/>
      <c r="G289" s="26"/>
      <c r="H289" s="26"/>
      <c r="I289" s="26"/>
      <c r="J289" s="29">
        <f t="shared" si="2"/>
        <v>0</v>
      </c>
      <c r="K289" s="30">
        <f t="shared" si="3"/>
        <v>0</v>
      </c>
      <c r="L289" s="26"/>
      <c r="M289" s="31" t="str">
        <f t="shared" si="6"/>
        <v>No</v>
      </c>
      <c r="N289" s="31" t="str">
        <f t="shared" si="5"/>
        <v>Yes</v>
      </c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22">
        <v>1.0</v>
      </c>
      <c r="B290" s="22"/>
      <c r="C290" s="22"/>
      <c r="D290" s="22"/>
      <c r="E290" s="33"/>
      <c r="F290" s="43"/>
      <c r="G290" s="26"/>
      <c r="H290" s="26"/>
      <c r="I290" s="26"/>
      <c r="J290" s="29">
        <f t="shared" si="2"/>
        <v>0</v>
      </c>
      <c r="K290" s="30">
        <f t="shared" si="3"/>
        <v>0</v>
      </c>
      <c r="L290" s="26"/>
      <c r="M290" s="31" t="str">
        <f t="shared" si="6"/>
        <v>No</v>
      </c>
      <c r="N290" s="31" t="str">
        <f t="shared" si="5"/>
        <v>Yes</v>
      </c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22">
        <v>1.0</v>
      </c>
      <c r="B291" s="22"/>
      <c r="C291" s="22"/>
      <c r="D291" s="22"/>
      <c r="E291" s="33"/>
      <c r="F291" s="43"/>
      <c r="G291" s="26"/>
      <c r="H291" s="26"/>
      <c r="I291" s="26"/>
      <c r="J291" s="29">
        <f t="shared" si="2"/>
        <v>0</v>
      </c>
      <c r="K291" s="30">
        <f t="shared" si="3"/>
        <v>0</v>
      </c>
      <c r="L291" s="26"/>
      <c r="M291" s="31" t="str">
        <f t="shared" si="6"/>
        <v>No</v>
      </c>
      <c r="N291" s="31" t="str">
        <f t="shared" si="5"/>
        <v>Yes</v>
      </c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22">
        <v>1.0</v>
      </c>
      <c r="B292" s="22"/>
      <c r="C292" s="22"/>
      <c r="D292" s="22"/>
      <c r="E292" s="33"/>
      <c r="F292" s="43"/>
      <c r="G292" s="26"/>
      <c r="H292" s="26"/>
      <c r="I292" s="26"/>
      <c r="J292" s="29">
        <f t="shared" si="2"/>
        <v>0</v>
      </c>
      <c r="K292" s="30">
        <f t="shared" si="3"/>
        <v>0</v>
      </c>
      <c r="L292" s="26"/>
      <c r="M292" s="31" t="str">
        <f t="shared" si="6"/>
        <v>No</v>
      </c>
      <c r="N292" s="31" t="str">
        <f t="shared" si="5"/>
        <v>Yes</v>
      </c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22">
        <v>1.0</v>
      </c>
      <c r="B293" s="22"/>
      <c r="C293" s="22"/>
      <c r="D293" s="22"/>
      <c r="E293" s="33"/>
      <c r="F293" s="43"/>
      <c r="G293" s="26"/>
      <c r="H293" s="26"/>
      <c r="I293" s="26"/>
      <c r="J293" s="29">
        <f t="shared" si="2"/>
        <v>0</v>
      </c>
      <c r="K293" s="30">
        <f t="shared" si="3"/>
        <v>0</v>
      </c>
      <c r="L293" s="26"/>
      <c r="M293" s="31" t="str">
        <f t="shared" si="6"/>
        <v>No</v>
      </c>
      <c r="N293" s="31" t="str">
        <f t="shared" si="5"/>
        <v>Yes</v>
      </c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22">
        <v>1.0</v>
      </c>
      <c r="B294" s="22"/>
      <c r="C294" s="22"/>
      <c r="D294" s="22"/>
      <c r="E294" s="33"/>
      <c r="F294" s="43"/>
      <c r="G294" s="26"/>
      <c r="H294" s="26"/>
      <c r="I294" s="26"/>
      <c r="J294" s="29">
        <f t="shared" si="2"/>
        <v>0</v>
      </c>
      <c r="K294" s="30">
        <f t="shared" si="3"/>
        <v>0</v>
      </c>
      <c r="L294" s="26"/>
      <c r="M294" s="31" t="str">
        <f t="shared" si="6"/>
        <v>No</v>
      </c>
      <c r="N294" s="31" t="str">
        <f t="shared" si="5"/>
        <v>Yes</v>
      </c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22">
        <v>1.0</v>
      </c>
      <c r="B295" s="22"/>
      <c r="C295" s="22"/>
      <c r="D295" s="22"/>
      <c r="E295" s="33"/>
      <c r="F295" s="43"/>
      <c r="G295" s="26"/>
      <c r="H295" s="26"/>
      <c r="I295" s="26"/>
      <c r="J295" s="29">
        <f t="shared" si="2"/>
        <v>0</v>
      </c>
      <c r="K295" s="30">
        <f t="shared" si="3"/>
        <v>0</v>
      </c>
      <c r="L295" s="26"/>
      <c r="M295" s="31" t="str">
        <f t="shared" si="6"/>
        <v>No</v>
      </c>
      <c r="N295" s="31" t="str">
        <f t="shared" si="5"/>
        <v>Yes</v>
      </c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22">
        <v>1.0</v>
      </c>
      <c r="B296" s="22"/>
      <c r="C296" s="22"/>
      <c r="D296" s="22"/>
      <c r="E296" s="33"/>
      <c r="F296" s="43"/>
      <c r="G296" s="26"/>
      <c r="H296" s="26"/>
      <c r="I296" s="26"/>
      <c r="J296" s="29">
        <f t="shared" si="2"/>
        <v>0</v>
      </c>
      <c r="K296" s="30">
        <f t="shared" si="3"/>
        <v>0</v>
      </c>
      <c r="L296" s="26"/>
      <c r="M296" s="31" t="str">
        <f t="shared" si="6"/>
        <v>No</v>
      </c>
      <c r="N296" s="31" t="str">
        <f t="shared" si="5"/>
        <v>Yes</v>
      </c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22">
        <v>1.0</v>
      </c>
      <c r="B297" s="22"/>
      <c r="C297" s="22"/>
      <c r="D297" s="22"/>
      <c r="E297" s="33"/>
      <c r="F297" s="43"/>
      <c r="G297" s="26"/>
      <c r="H297" s="26"/>
      <c r="I297" s="26"/>
      <c r="J297" s="29">
        <f t="shared" si="2"/>
        <v>0</v>
      </c>
      <c r="K297" s="30">
        <f t="shared" si="3"/>
        <v>0</v>
      </c>
      <c r="L297" s="26"/>
      <c r="M297" s="31" t="str">
        <f t="shared" si="6"/>
        <v>No</v>
      </c>
      <c r="N297" s="31" t="str">
        <f t="shared" si="5"/>
        <v>Yes</v>
      </c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22">
        <v>1.0</v>
      </c>
      <c r="B298" s="22"/>
      <c r="C298" s="22"/>
      <c r="D298" s="22"/>
      <c r="E298" s="33"/>
      <c r="F298" s="43"/>
      <c r="G298" s="26"/>
      <c r="H298" s="26"/>
      <c r="I298" s="26"/>
      <c r="J298" s="29">
        <f t="shared" si="2"/>
        <v>0</v>
      </c>
      <c r="K298" s="30">
        <f t="shared" si="3"/>
        <v>0</v>
      </c>
      <c r="L298" s="26"/>
      <c r="M298" s="31" t="str">
        <f t="shared" si="6"/>
        <v>No</v>
      </c>
      <c r="N298" s="31" t="str">
        <f t="shared" si="5"/>
        <v>Yes</v>
      </c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44"/>
      <c r="F299" s="4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44"/>
      <c r="F300" s="4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44"/>
      <c r="F301" s="4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44"/>
      <c r="F302" s="4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44"/>
      <c r="F303" s="4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44"/>
      <c r="F304" s="4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44"/>
      <c r="F305" s="4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44"/>
      <c r="F306" s="4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44"/>
      <c r="F307" s="4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44"/>
      <c r="F308" s="4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44"/>
      <c r="F309" s="4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44"/>
      <c r="F310" s="4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44"/>
      <c r="F311" s="4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44"/>
      <c r="F312" s="4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44"/>
      <c r="F313" s="4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44"/>
      <c r="F314" s="4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44"/>
      <c r="F315" s="4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44"/>
      <c r="F316" s="4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44"/>
      <c r="F317" s="4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44"/>
      <c r="F318" s="4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44"/>
      <c r="F319" s="4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44"/>
      <c r="F320" s="4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44"/>
      <c r="F321" s="4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44"/>
      <c r="F322" s="4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44"/>
      <c r="F323" s="4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44"/>
      <c r="F324" s="4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44"/>
      <c r="F325" s="4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44"/>
      <c r="F326" s="4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44"/>
      <c r="F327" s="4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44"/>
      <c r="F328" s="4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44"/>
      <c r="F329" s="4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44"/>
      <c r="F330" s="4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44"/>
      <c r="F331" s="4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44"/>
      <c r="F332" s="4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44"/>
      <c r="F333" s="4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44"/>
      <c r="F334" s="4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44"/>
      <c r="F335" s="4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44"/>
      <c r="F336" s="4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44"/>
      <c r="F337" s="4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44"/>
      <c r="F338" s="4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44"/>
      <c r="F339" s="4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44"/>
      <c r="F340" s="4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44"/>
      <c r="F341" s="4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44"/>
      <c r="F342" s="4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44"/>
      <c r="F343" s="4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44"/>
      <c r="F344" s="4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44"/>
      <c r="F345" s="4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44"/>
      <c r="F346" s="4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44"/>
      <c r="F347" s="4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44"/>
      <c r="F348" s="4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44"/>
      <c r="F349" s="4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44"/>
      <c r="F350" s="4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44"/>
      <c r="F351" s="4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44"/>
      <c r="F352" s="4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44"/>
      <c r="F353" s="4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44"/>
      <c r="F354" s="4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44"/>
      <c r="F355" s="4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44"/>
      <c r="F356" s="4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44"/>
      <c r="F357" s="4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44"/>
      <c r="F358" s="4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44"/>
      <c r="F359" s="4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44"/>
      <c r="F360" s="4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44"/>
      <c r="F361" s="4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44"/>
      <c r="F362" s="4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44"/>
      <c r="F363" s="4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44"/>
      <c r="F364" s="4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44"/>
      <c r="F365" s="4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44"/>
      <c r="F366" s="4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44"/>
      <c r="F367" s="4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44"/>
      <c r="F368" s="4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44"/>
      <c r="F369" s="4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44"/>
      <c r="F370" s="4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44"/>
      <c r="F371" s="4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44"/>
      <c r="F372" s="4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44"/>
      <c r="F373" s="4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44"/>
      <c r="F374" s="4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44"/>
      <c r="F375" s="4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44"/>
      <c r="F376" s="4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44"/>
      <c r="F377" s="4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44"/>
      <c r="F378" s="4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44"/>
      <c r="F379" s="4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44"/>
      <c r="F380" s="4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44"/>
      <c r="F381" s="4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44"/>
      <c r="F382" s="4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44"/>
      <c r="F383" s="4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44"/>
      <c r="F384" s="4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44"/>
      <c r="F385" s="4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44"/>
      <c r="F386" s="4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44"/>
      <c r="F387" s="4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44"/>
      <c r="F388" s="4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44"/>
      <c r="F389" s="4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44"/>
      <c r="F390" s="4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44"/>
      <c r="F391" s="4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44"/>
      <c r="F392" s="4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44"/>
      <c r="F393" s="4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44"/>
      <c r="F394" s="4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44"/>
      <c r="F395" s="4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44"/>
      <c r="F396" s="4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44"/>
      <c r="F397" s="4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44"/>
      <c r="F398" s="4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44"/>
      <c r="F399" s="4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44"/>
      <c r="F400" s="4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44"/>
      <c r="F401" s="4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44"/>
      <c r="F402" s="4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44"/>
      <c r="F403" s="4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44"/>
      <c r="F404" s="4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44"/>
      <c r="F405" s="4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44"/>
      <c r="F406" s="4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44"/>
      <c r="F407" s="4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44"/>
      <c r="F408" s="4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44"/>
      <c r="F409" s="4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44"/>
      <c r="F410" s="4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44"/>
      <c r="F411" s="4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44"/>
      <c r="F412" s="4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44"/>
      <c r="F413" s="4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44"/>
      <c r="F414" s="4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44"/>
      <c r="F415" s="4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44"/>
      <c r="F416" s="4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44"/>
      <c r="F417" s="4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44"/>
      <c r="F418" s="4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44"/>
      <c r="F419" s="4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44"/>
      <c r="F420" s="4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44"/>
      <c r="F421" s="4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44"/>
      <c r="F422" s="4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44"/>
      <c r="F423" s="4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44"/>
      <c r="F424" s="4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44"/>
      <c r="F425" s="4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44"/>
      <c r="F426" s="4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44"/>
      <c r="F427" s="4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44"/>
      <c r="F428" s="4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44"/>
      <c r="F429" s="4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44"/>
      <c r="F430" s="4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44"/>
      <c r="F431" s="4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44"/>
      <c r="F432" s="4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44"/>
      <c r="F433" s="4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44"/>
      <c r="F434" s="4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44"/>
      <c r="F435" s="4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44"/>
      <c r="F436" s="4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44"/>
      <c r="F437" s="4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44"/>
      <c r="F438" s="4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44"/>
      <c r="F439" s="4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44"/>
      <c r="F440" s="4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44"/>
      <c r="F441" s="4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44"/>
      <c r="F442" s="4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44"/>
      <c r="F443" s="4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44"/>
      <c r="F444" s="4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44"/>
      <c r="F445" s="4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44"/>
      <c r="F446" s="4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44"/>
      <c r="F447" s="4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44"/>
      <c r="F448" s="4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44"/>
      <c r="F449" s="4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44"/>
      <c r="F450" s="4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44"/>
      <c r="F451" s="4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44"/>
      <c r="F452" s="4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44"/>
      <c r="F453" s="4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44"/>
      <c r="F454" s="4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44"/>
      <c r="F455" s="4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44"/>
      <c r="F456" s="4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44"/>
      <c r="F457" s="4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44"/>
      <c r="F458" s="4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44"/>
      <c r="F459" s="4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44"/>
      <c r="F460" s="4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44"/>
      <c r="F461" s="4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44"/>
      <c r="F462" s="4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44"/>
      <c r="F463" s="4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44"/>
      <c r="F464" s="4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44"/>
      <c r="F465" s="4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44"/>
      <c r="F466" s="4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44"/>
      <c r="F467" s="4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44"/>
      <c r="F468" s="4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44"/>
      <c r="F469" s="4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44"/>
      <c r="F470" s="4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44"/>
      <c r="F471" s="4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44"/>
      <c r="F472" s="4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44"/>
      <c r="F473" s="4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44"/>
      <c r="F474" s="4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44"/>
      <c r="F475" s="4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44"/>
      <c r="F476" s="4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44"/>
      <c r="F477" s="4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44"/>
      <c r="F478" s="4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44"/>
      <c r="F479" s="4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44"/>
      <c r="F480" s="4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44"/>
      <c r="F481" s="4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44"/>
      <c r="F482" s="4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44"/>
      <c r="F483" s="4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44"/>
      <c r="F484" s="4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44"/>
      <c r="F485" s="4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44"/>
      <c r="F486" s="4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44"/>
      <c r="F487" s="4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44"/>
      <c r="F488" s="4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44"/>
      <c r="F489" s="4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44"/>
      <c r="F490" s="4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44"/>
      <c r="F491" s="4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44"/>
      <c r="F492" s="4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44"/>
      <c r="F493" s="4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44"/>
      <c r="F494" s="4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44"/>
      <c r="F495" s="4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44"/>
      <c r="F496" s="4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44"/>
      <c r="F497" s="4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44"/>
      <c r="F498" s="4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44"/>
      <c r="F499" s="4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44"/>
      <c r="F500" s="4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44"/>
      <c r="F501" s="4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44"/>
      <c r="F502" s="4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44"/>
      <c r="F503" s="4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44"/>
      <c r="F504" s="4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44"/>
      <c r="F505" s="4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44"/>
      <c r="F506" s="4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44"/>
      <c r="F507" s="4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44"/>
      <c r="F508" s="4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44"/>
      <c r="F509" s="4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44"/>
      <c r="F510" s="4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44"/>
      <c r="F511" s="4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44"/>
      <c r="F512" s="4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44"/>
      <c r="F513" s="4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44"/>
      <c r="F514" s="4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44"/>
      <c r="F515" s="4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44"/>
      <c r="F516" s="4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44"/>
      <c r="F517" s="4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44"/>
      <c r="F518" s="4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44"/>
      <c r="F519" s="4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44"/>
      <c r="F520" s="4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44"/>
      <c r="F521" s="4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44"/>
      <c r="F522" s="4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44"/>
      <c r="F523" s="4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44"/>
      <c r="F524" s="4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44"/>
      <c r="F525" s="4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44"/>
      <c r="F526" s="4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44"/>
      <c r="F527" s="4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44"/>
      <c r="F528" s="4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44"/>
      <c r="F529" s="4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44"/>
      <c r="F530" s="4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44"/>
      <c r="F531" s="4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44"/>
      <c r="F532" s="4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44"/>
      <c r="F533" s="4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44"/>
      <c r="F534" s="4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44"/>
      <c r="F535" s="4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44"/>
      <c r="F536" s="4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44"/>
      <c r="F537" s="4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44"/>
      <c r="F538" s="4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44"/>
      <c r="F539" s="4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44"/>
      <c r="F540" s="4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44"/>
      <c r="F541" s="4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44"/>
      <c r="F542" s="4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44"/>
      <c r="F543" s="4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44"/>
      <c r="F544" s="4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44"/>
      <c r="F545" s="4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44"/>
      <c r="F546" s="4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44"/>
      <c r="F547" s="4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44"/>
      <c r="F548" s="4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44"/>
      <c r="F549" s="4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44"/>
      <c r="F550" s="4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44"/>
      <c r="F551" s="4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44"/>
      <c r="F552" s="4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44"/>
      <c r="F553" s="4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44"/>
      <c r="F554" s="4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44"/>
      <c r="F555" s="4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44"/>
      <c r="F556" s="4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44"/>
      <c r="F557" s="4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44"/>
      <c r="F558" s="4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44"/>
      <c r="F559" s="4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44"/>
      <c r="F560" s="4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44"/>
      <c r="F561" s="4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44"/>
      <c r="F562" s="4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44"/>
      <c r="F563" s="4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44"/>
      <c r="F564" s="4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44"/>
      <c r="F565" s="4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44"/>
      <c r="F566" s="4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44"/>
      <c r="F567" s="4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44"/>
      <c r="F568" s="4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44"/>
      <c r="F569" s="4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44"/>
      <c r="F570" s="4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44"/>
      <c r="F571" s="4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44"/>
      <c r="F572" s="4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44"/>
      <c r="F573" s="4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44"/>
      <c r="F574" s="4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44"/>
      <c r="F575" s="4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44"/>
      <c r="F576" s="4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44"/>
      <c r="F577" s="4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44"/>
      <c r="F578" s="4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44"/>
      <c r="F579" s="4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44"/>
      <c r="F580" s="4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44"/>
      <c r="F581" s="4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44"/>
      <c r="F582" s="4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44"/>
      <c r="F583" s="4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44"/>
      <c r="F584" s="4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44"/>
      <c r="F585" s="4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44"/>
      <c r="F586" s="4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44"/>
      <c r="F587" s="4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44"/>
      <c r="F588" s="4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44"/>
      <c r="F589" s="4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44"/>
      <c r="F590" s="4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44"/>
      <c r="F591" s="4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44"/>
      <c r="F592" s="4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44"/>
      <c r="F593" s="4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44"/>
      <c r="F594" s="4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44"/>
      <c r="F595" s="4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44"/>
      <c r="F596" s="4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44"/>
      <c r="F597" s="4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44"/>
      <c r="F598" s="4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44"/>
      <c r="F599" s="4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44"/>
      <c r="F600" s="4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44"/>
      <c r="F601" s="4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44"/>
      <c r="F602" s="4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44"/>
      <c r="F603" s="4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44"/>
      <c r="F604" s="4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44"/>
      <c r="F605" s="4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44"/>
      <c r="F606" s="4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44"/>
      <c r="F607" s="4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44"/>
      <c r="F608" s="4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44"/>
      <c r="F609" s="4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44"/>
      <c r="F610" s="4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44"/>
      <c r="F611" s="4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44"/>
      <c r="F612" s="4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44"/>
      <c r="F613" s="4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44"/>
      <c r="F614" s="4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44"/>
      <c r="F615" s="4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44"/>
      <c r="F616" s="4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44"/>
      <c r="F617" s="4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44"/>
      <c r="F618" s="4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44"/>
      <c r="F619" s="4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44"/>
      <c r="F620" s="4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44"/>
      <c r="F621" s="4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44"/>
      <c r="F622" s="4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44"/>
      <c r="F623" s="4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44"/>
      <c r="F624" s="4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44"/>
      <c r="F625" s="4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44"/>
      <c r="F626" s="4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44"/>
      <c r="F627" s="4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44"/>
      <c r="F628" s="4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44"/>
      <c r="F629" s="4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44"/>
      <c r="F630" s="4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44"/>
      <c r="F631" s="4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44"/>
      <c r="F632" s="4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44"/>
      <c r="F633" s="4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44"/>
      <c r="F634" s="4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44"/>
      <c r="F635" s="4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44"/>
      <c r="F636" s="4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44"/>
      <c r="F637" s="4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44"/>
      <c r="F638" s="4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44"/>
      <c r="F639" s="4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44"/>
      <c r="F640" s="4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44"/>
      <c r="F641" s="4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44"/>
      <c r="F642" s="4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44"/>
      <c r="F643" s="4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44"/>
      <c r="F644" s="4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44"/>
      <c r="F645" s="4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44"/>
      <c r="F646" s="4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44"/>
      <c r="F647" s="4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44"/>
      <c r="F648" s="4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44"/>
      <c r="F649" s="4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44"/>
      <c r="F650" s="4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44"/>
      <c r="F651" s="4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44"/>
      <c r="F652" s="4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44"/>
      <c r="F653" s="4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44"/>
      <c r="F654" s="4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44"/>
      <c r="F655" s="4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44"/>
      <c r="F656" s="4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44"/>
      <c r="F657" s="4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44"/>
      <c r="F658" s="4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44"/>
      <c r="F659" s="4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44"/>
      <c r="F660" s="4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44"/>
      <c r="F661" s="4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44"/>
      <c r="F662" s="4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44"/>
      <c r="F663" s="4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44"/>
      <c r="F664" s="4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44"/>
      <c r="F665" s="4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44"/>
      <c r="F666" s="4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44"/>
      <c r="F667" s="4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44"/>
      <c r="F668" s="4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44"/>
      <c r="F669" s="4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44"/>
      <c r="F670" s="4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44"/>
      <c r="F671" s="4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44"/>
      <c r="F672" s="4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44"/>
      <c r="F673" s="4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44"/>
      <c r="F674" s="4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44"/>
      <c r="F675" s="4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44"/>
      <c r="F676" s="4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44"/>
      <c r="F677" s="4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44"/>
      <c r="F678" s="4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44"/>
      <c r="F679" s="4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44"/>
      <c r="F680" s="4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44"/>
      <c r="F681" s="4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44"/>
      <c r="F682" s="4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44"/>
      <c r="F683" s="4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44"/>
      <c r="F684" s="4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44"/>
      <c r="F685" s="4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44"/>
      <c r="F686" s="4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44"/>
      <c r="F687" s="4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44"/>
      <c r="F688" s="4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44"/>
      <c r="F689" s="4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44"/>
      <c r="F690" s="4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44"/>
      <c r="F691" s="4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44"/>
      <c r="F692" s="4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44"/>
      <c r="F693" s="4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44"/>
      <c r="F694" s="4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44"/>
      <c r="F695" s="4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44"/>
      <c r="F696" s="4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44"/>
      <c r="F697" s="4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44"/>
      <c r="F698" s="4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44"/>
      <c r="F699" s="4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44"/>
      <c r="F700" s="4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44"/>
      <c r="F701" s="4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44"/>
      <c r="F702" s="4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44"/>
      <c r="F703" s="4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44"/>
      <c r="F704" s="4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44"/>
      <c r="F705" s="4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44"/>
      <c r="F706" s="4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44"/>
      <c r="F707" s="4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44"/>
      <c r="F708" s="4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44"/>
      <c r="F709" s="4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44"/>
      <c r="F710" s="4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44"/>
      <c r="F711" s="4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44"/>
      <c r="F712" s="4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44"/>
      <c r="F713" s="4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44"/>
      <c r="F714" s="4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44"/>
      <c r="F715" s="4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44"/>
      <c r="F716" s="4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44"/>
      <c r="F717" s="4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44"/>
      <c r="F718" s="4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44"/>
      <c r="F719" s="4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44"/>
      <c r="F720" s="4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44"/>
      <c r="F721" s="4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44"/>
      <c r="F722" s="4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44"/>
      <c r="F723" s="4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44"/>
      <c r="F724" s="4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44"/>
      <c r="F725" s="4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44"/>
      <c r="F726" s="4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44"/>
      <c r="F727" s="4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44"/>
      <c r="F728" s="4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44"/>
      <c r="F729" s="4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44"/>
      <c r="F730" s="4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44"/>
      <c r="F731" s="4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44"/>
      <c r="F732" s="4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44"/>
      <c r="F733" s="4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44"/>
      <c r="F734" s="4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44"/>
      <c r="F735" s="4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44"/>
      <c r="F736" s="4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44"/>
      <c r="F737" s="4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44"/>
      <c r="F738" s="4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44"/>
      <c r="F739" s="4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44"/>
      <c r="F740" s="4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44"/>
      <c r="F741" s="4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44"/>
      <c r="F742" s="4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44"/>
      <c r="F743" s="4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44"/>
      <c r="F744" s="4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44"/>
      <c r="F745" s="4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44"/>
      <c r="F746" s="4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44"/>
      <c r="F747" s="4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44"/>
      <c r="F748" s="4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44"/>
      <c r="F749" s="4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44"/>
      <c r="F750" s="4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44"/>
      <c r="F751" s="4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44"/>
      <c r="F752" s="4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44"/>
      <c r="F753" s="4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44"/>
      <c r="F754" s="4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44"/>
      <c r="F755" s="4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44"/>
      <c r="F756" s="4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44"/>
      <c r="F757" s="4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44"/>
      <c r="F758" s="4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44"/>
      <c r="F759" s="4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44"/>
      <c r="F760" s="4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44"/>
      <c r="F761" s="4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44"/>
      <c r="F762" s="4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44"/>
      <c r="F763" s="4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44"/>
      <c r="F764" s="4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44"/>
      <c r="F765" s="4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44"/>
      <c r="F766" s="4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44"/>
      <c r="F767" s="4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44"/>
      <c r="F768" s="4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44"/>
      <c r="F769" s="4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44"/>
      <c r="F770" s="4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44"/>
      <c r="F771" s="4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44"/>
      <c r="F772" s="4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44"/>
      <c r="F773" s="4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44"/>
      <c r="F774" s="4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44"/>
      <c r="F775" s="4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44"/>
      <c r="F776" s="4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44"/>
      <c r="F777" s="4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44"/>
      <c r="F778" s="4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44"/>
      <c r="F779" s="4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44"/>
      <c r="F780" s="4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44"/>
      <c r="F781" s="4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44"/>
      <c r="F782" s="4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44"/>
      <c r="F783" s="4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44"/>
      <c r="F784" s="4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44"/>
      <c r="F785" s="4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44"/>
      <c r="F786" s="4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44"/>
      <c r="F787" s="4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44"/>
      <c r="F788" s="4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44"/>
      <c r="F789" s="4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44"/>
      <c r="F790" s="4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44"/>
      <c r="F791" s="4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44"/>
      <c r="F792" s="4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44"/>
      <c r="F793" s="4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44"/>
      <c r="F794" s="4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44"/>
      <c r="F795" s="4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44"/>
      <c r="F796" s="4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44"/>
      <c r="F797" s="4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44"/>
      <c r="F798" s="4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44"/>
      <c r="F799" s="4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44"/>
      <c r="F800" s="4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44"/>
      <c r="F801" s="4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44"/>
      <c r="F802" s="4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44"/>
      <c r="F803" s="4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44"/>
      <c r="F804" s="4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44"/>
      <c r="F805" s="4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44"/>
      <c r="F806" s="4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44"/>
      <c r="F807" s="4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44"/>
      <c r="F808" s="4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44"/>
      <c r="F809" s="4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44"/>
      <c r="F810" s="4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44"/>
      <c r="F811" s="4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44"/>
      <c r="F812" s="4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44"/>
      <c r="F813" s="4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44"/>
      <c r="F814" s="4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44"/>
      <c r="F815" s="4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44"/>
      <c r="F816" s="4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44"/>
      <c r="F817" s="4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44"/>
      <c r="F818" s="4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44"/>
      <c r="F819" s="4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44"/>
      <c r="F820" s="4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44"/>
      <c r="F821" s="4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44"/>
      <c r="F822" s="4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44"/>
      <c r="F823" s="4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44"/>
      <c r="F824" s="4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44"/>
      <c r="F825" s="4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44"/>
      <c r="F826" s="4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44"/>
      <c r="F827" s="4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44"/>
      <c r="F828" s="4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44"/>
      <c r="F829" s="4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44"/>
      <c r="F830" s="4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44"/>
      <c r="F831" s="4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44"/>
      <c r="F832" s="4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44"/>
      <c r="F833" s="4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44"/>
      <c r="F834" s="4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44"/>
      <c r="F835" s="4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44"/>
      <c r="F836" s="4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44"/>
      <c r="F837" s="4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44"/>
      <c r="F838" s="4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44"/>
      <c r="F839" s="4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44"/>
      <c r="F840" s="4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44"/>
      <c r="F841" s="4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44"/>
      <c r="F842" s="4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44"/>
      <c r="F843" s="4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44"/>
      <c r="F844" s="4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44"/>
      <c r="F845" s="4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44"/>
      <c r="F846" s="4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44"/>
      <c r="F847" s="4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44"/>
      <c r="F848" s="4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44"/>
      <c r="F849" s="4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44"/>
      <c r="F850" s="4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44"/>
      <c r="F851" s="4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44"/>
      <c r="F852" s="4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44"/>
      <c r="F853" s="4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44"/>
      <c r="F854" s="4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44"/>
      <c r="F855" s="4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44"/>
      <c r="F856" s="4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44"/>
      <c r="F857" s="4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44"/>
      <c r="F858" s="4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44"/>
      <c r="F859" s="4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44"/>
      <c r="F860" s="4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44"/>
      <c r="F861" s="4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44"/>
      <c r="F862" s="4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44"/>
      <c r="F863" s="4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44"/>
      <c r="F864" s="4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44"/>
      <c r="F865" s="4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44"/>
      <c r="F866" s="4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44"/>
      <c r="F867" s="4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44"/>
      <c r="F868" s="4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44"/>
      <c r="F869" s="4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44"/>
      <c r="F870" s="4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44"/>
      <c r="F871" s="4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44"/>
      <c r="F872" s="4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44"/>
      <c r="F873" s="4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44"/>
      <c r="F874" s="4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44"/>
      <c r="F875" s="4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44"/>
      <c r="F876" s="4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44"/>
      <c r="F877" s="4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44"/>
      <c r="F878" s="4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44"/>
      <c r="F879" s="4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44"/>
      <c r="F880" s="4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44"/>
      <c r="F881" s="4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44"/>
      <c r="F882" s="4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44"/>
      <c r="F883" s="4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44"/>
      <c r="F884" s="4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44"/>
      <c r="F885" s="4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44"/>
      <c r="F886" s="4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44"/>
      <c r="F887" s="4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44"/>
      <c r="F888" s="4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44"/>
      <c r="F889" s="4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44"/>
      <c r="F890" s="4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44"/>
      <c r="F891" s="4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44"/>
      <c r="F892" s="4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44"/>
      <c r="F893" s="4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44"/>
      <c r="F894" s="4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44"/>
      <c r="F895" s="4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44"/>
      <c r="F896" s="4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44"/>
      <c r="F897" s="4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44"/>
      <c r="F898" s="4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44"/>
      <c r="F899" s="4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44"/>
      <c r="F900" s="4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44"/>
      <c r="F901" s="4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44"/>
      <c r="F902" s="4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44"/>
      <c r="F903" s="4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44"/>
      <c r="F904" s="4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44"/>
      <c r="F905" s="4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44"/>
      <c r="F906" s="4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44"/>
      <c r="F907" s="4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44"/>
      <c r="F908" s="4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44"/>
      <c r="F909" s="4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44"/>
      <c r="F910" s="4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44"/>
      <c r="F911" s="4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44"/>
      <c r="F912" s="4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44"/>
      <c r="F913" s="4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44"/>
      <c r="F914" s="4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44"/>
      <c r="F915" s="4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44"/>
      <c r="F916" s="4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44"/>
      <c r="F917" s="4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44"/>
      <c r="F918" s="4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44"/>
      <c r="F919" s="4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44"/>
      <c r="F920" s="4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44"/>
      <c r="F921" s="4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44"/>
      <c r="F922" s="4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44"/>
      <c r="F923" s="4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44"/>
      <c r="F924" s="4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44"/>
      <c r="F925" s="4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44"/>
      <c r="F926" s="4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44"/>
      <c r="F927" s="4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44"/>
      <c r="F928" s="4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44"/>
      <c r="F929" s="4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44"/>
      <c r="F930" s="4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44"/>
      <c r="F931" s="4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44"/>
      <c r="F932" s="4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44"/>
      <c r="F933" s="4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44"/>
      <c r="F934" s="4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44"/>
      <c r="F935" s="4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44"/>
      <c r="F936" s="4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44"/>
      <c r="F937" s="4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44"/>
      <c r="F938" s="4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44"/>
      <c r="F939" s="4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44"/>
      <c r="F940" s="4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44"/>
      <c r="F941" s="4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44"/>
      <c r="F942" s="4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44"/>
      <c r="F943" s="4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44"/>
      <c r="F944" s="4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44"/>
      <c r="F945" s="4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44"/>
      <c r="F946" s="4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44"/>
      <c r="F947" s="4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44"/>
      <c r="F948" s="4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44"/>
      <c r="F949" s="4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44"/>
      <c r="F950" s="4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44"/>
      <c r="F951" s="4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44"/>
      <c r="F952" s="4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44"/>
      <c r="F953" s="4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44"/>
      <c r="F954" s="4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44"/>
      <c r="F955" s="4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44"/>
      <c r="F956" s="4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44"/>
      <c r="F957" s="4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44"/>
      <c r="F958" s="4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44"/>
      <c r="F959" s="4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44"/>
      <c r="F960" s="4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44"/>
      <c r="F961" s="4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44"/>
      <c r="F962" s="4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44"/>
      <c r="F963" s="4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44"/>
      <c r="F964" s="4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44"/>
      <c r="F965" s="4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44"/>
      <c r="F966" s="4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44"/>
      <c r="F967" s="4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44"/>
      <c r="F968" s="4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44"/>
      <c r="F969" s="4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44"/>
      <c r="F970" s="4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44"/>
      <c r="F971" s="4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44"/>
      <c r="F972" s="4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44"/>
      <c r="F973" s="4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44"/>
      <c r="F974" s="4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44"/>
      <c r="F975" s="4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44"/>
      <c r="F976" s="4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44"/>
      <c r="F977" s="4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44"/>
      <c r="F978" s="4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44"/>
      <c r="F979" s="4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44"/>
      <c r="F980" s="4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44"/>
      <c r="F981" s="4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44"/>
      <c r="F982" s="4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44"/>
      <c r="F983" s="4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44"/>
      <c r="F984" s="4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44"/>
      <c r="F985" s="4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44"/>
      <c r="F986" s="4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44"/>
      <c r="F987" s="4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44"/>
      <c r="F988" s="4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44"/>
      <c r="F989" s="4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44"/>
      <c r="F990" s="4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44"/>
      <c r="F991" s="4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44"/>
      <c r="F992" s="4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44"/>
      <c r="F993" s="4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44"/>
      <c r="F994" s="4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44"/>
      <c r="F995" s="4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44"/>
      <c r="F996" s="4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44"/>
      <c r="F997" s="4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44"/>
      <c r="F998" s="4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44"/>
      <c r="F999" s="4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44"/>
      <c r="F1000" s="4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1">
    <mergeCell ref="A1:N1"/>
  </mergeCells>
  <conditionalFormatting sqref="E5:E10 F3:F298">
    <cfRule type="containsText" dxfId="0" priority="1" operator="containsText" text="DNF">
      <formula>NOT(ISERROR(SEARCH(("DNF"),(E5))))</formula>
    </cfRule>
  </conditionalFormatting>
  <conditionalFormatting sqref="G3:O3 J4:J298">
    <cfRule type="expression" dxfId="1" priority="2">
      <formula>$F$3="DNF"</formula>
    </cfRule>
  </conditionalFormatting>
  <dataValidations>
    <dataValidation type="list" allowBlank="1" showErrorMessage="1" sqref="O5:O298">
      <formula1>Division</formula1>
    </dataValidation>
    <dataValidation type="list" allowBlank="1" showInputMessage="1" showErrorMessage="1" prompt="Must be Y or N - Must be Y or N" sqref="I3:I298 L3:L298">
      <formula1>"Y,N"</formula1>
    </dataValidation>
    <dataValidation type="list" allowBlank="1" showErrorMessage="1" sqref="H3:H298">
      <formula1>Sheet3!$A$1:$A$5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39</v>
      </c>
    </row>
    <row r="2">
      <c r="A2" s="6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>
        <v>0.0</v>
      </c>
      <c r="D1" s="6">
        <v>0.0</v>
      </c>
    </row>
    <row r="2">
      <c r="A2" s="6">
        <v>1.0</v>
      </c>
      <c r="D2" s="6">
        <v>1.0</v>
      </c>
    </row>
    <row r="3">
      <c r="A3" s="6">
        <v>2.0</v>
      </c>
      <c r="D3" s="6">
        <v>2.0</v>
      </c>
    </row>
    <row r="4">
      <c r="A4" s="6">
        <v>3.0</v>
      </c>
      <c r="D4" s="6">
        <v>3.0</v>
      </c>
    </row>
    <row r="5">
      <c r="D5" s="6">
        <v>4.0</v>
      </c>
    </row>
    <row r="6">
      <c r="D6" s="6">
        <v>5.0</v>
      </c>
    </row>
    <row r="7">
      <c r="D7" s="6">
        <v>6.0</v>
      </c>
    </row>
    <row r="8">
      <c r="D8" s="6">
        <v>7.0</v>
      </c>
    </row>
    <row r="9">
      <c r="D9" s="6">
        <v>8.0</v>
      </c>
    </row>
    <row r="10">
      <c r="D10" s="6">
        <v>9.0</v>
      </c>
    </row>
    <row r="11">
      <c r="D11" s="6">
        <v>10.0</v>
      </c>
    </row>
    <row r="12">
      <c r="D12" s="6">
        <v>11.0</v>
      </c>
    </row>
    <row r="13">
      <c r="D13" s="6">
        <v>12.0</v>
      </c>
    </row>
    <row r="14">
      <c r="D14" s="6">
        <v>13.0</v>
      </c>
    </row>
    <row r="15">
      <c r="D15" s="6">
        <v>14.0</v>
      </c>
    </row>
    <row r="16">
      <c r="D16" s="6">
        <v>15.0</v>
      </c>
    </row>
    <row r="17">
      <c r="D17" s="6">
        <v>16.0</v>
      </c>
    </row>
    <row r="18">
      <c r="D18" s="6">
        <v>17.0</v>
      </c>
    </row>
    <row r="19">
      <c r="D19" s="6">
        <v>18.0</v>
      </c>
    </row>
    <row r="20">
      <c r="D20" s="6">
        <v>19.0</v>
      </c>
    </row>
    <row r="21" ht="15.75" customHeight="1">
      <c r="D21" s="6">
        <v>20.0</v>
      </c>
    </row>
    <row r="22" ht="15.75" customHeight="1">
      <c r="D22" s="6">
        <v>21.0</v>
      </c>
    </row>
    <row r="23" ht="15.75" customHeight="1">
      <c r="D23" s="6">
        <v>22.0</v>
      </c>
    </row>
    <row r="24" ht="15.75" customHeight="1">
      <c r="D24" s="6">
        <v>23.0</v>
      </c>
    </row>
    <row r="25" ht="15.75" customHeight="1">
      <c r="D25" s="6">
        <v>24.0</v>
      </c>
    </row>
    <row r="26" ht="15.75" customHeight="1">
      <c r="D26" s="6">
        <v>25.0</v>
      </c>
    </row>
    <row r="27" ht="15.75" customHeight="1">
      <c r="D27" s="6">
        <v>26.0</v>
      </c>
    </row>
    <row r="28" ht="15.75" customHeight="1">
      <c r="D28" s="6">
        <v>27.0</v>
      </c>
    </row>
    <row r="29" ht="15.75" customHeight="1">
      <c r="D29" s="6">
        <v>28.0</v>
      </c>
    </row>
    <row r="30" ht="15.75" customHeight="1">
      <c r="D30" s="6">
        <v>29.0</v>
      </c>
    </row>
    <row r="31" ht="15.75" customHeight="1">
      <c r="D31" s="6">
        <v>30.0</v>
      </c>
    </row>
    <row r="32" ht="15.75" customHeight="1">
      <c r="D32" s="6">
        <v>31.0</v>
      </c>
    </row>
    <row r="33" ht="15.75" customHeight="1">
      <c r="D33" s="6">
        <v>32.0</v>
      </c>
    </row>
    <row r="34" ht="15.75" customHeight="1">
      <c r="D34" s="6">
        <v>33.0</v>
      </c>
    </row>
    <row r="35" ht="15.75" customHeight="1">
      <c r="D35" s="6">
        <v>34.0</v>
      </c>
    </row>
    <row r="36" ht="15.75" customHeight="1">
      <c r="D36" s="6">
        <v>35.0</v>
      </c>
    </row>
    <row r="37" ht="15.75" customHeight="1">
      <c r="D37" s="6">
        <v>36.0</v>
      </c>
    </row>
    <row r="38" ht="15.75" customHeight="1">
      <c r="D38" s="6">
        <v>37.0</v>
      </c>
    </row>
    <row r="39" ht="15.75" customHeight="1">
      <c r="D39" s="6">
        <v>38.0</v>
      </c>
    </row>
    <row r="40" ht="15.75" customHeight="1">
      <c r="D40" s="6">
        <v>39.0</v>
      </c>
    </row>
    <row r="41" ht="15.75" customHeight="1">
      <c r="D41" s="6">
        <v>40.0</v>
      </c>
    </row>
    <row r="42" ht="15.75" customHeight="1">
      <c r="D42" s="6">
        <v>41.0</v>
      </c>
    </row>
    <row r="43" ht="15.75" customHeight="1">
      <c r="D43" s="6">
        <v>42.0</v>
      </c>
    </row>
    <row r="44" ht="15.75" customHeight="1">
      <c r="D44" s="6">
        <v>43.0</v>
      </c>
    </row>
    <row r="45" ht="15.75" customHeight="1">
      <c r="D45" s="6">
        <v>44.0</v>
      </c>
    </row>
    <row r="46" ht="15.75" customHeight="1">
      <c r="D46" s="6">
        <v>45.0</v>
      </c>
    </row>
    <row r="47" ht="15.75" customHeight="1">
      <c r="D47" s="6">
        <v>46.0</v>
      </c>
    </row>
    <row r="48" ht="15.75" customHeight="1">
      <c r="D48" s="6">
        <v>47.0</v>
      </c>
    </row>
    <row r="49" ht="15.75" customHeight="1">
      <c r="D49" s="6">
        <v>48.0</v>
      </c>
    </row>
    <row r="50" ht="15.75" customHeight="1">
      <c r="D50" s="6">
        <v>49.0</v>
      </c>
    </row>
    <row r="51" ht="15.75" customHeight="1">
      <c r="D51" s="6">
        <v>50.0</v>
      </c>
    </row>
    <row r="52" ht="15.75" customHeight="1">
      <c r="D52" s="6">
        <v>51.0</v>
      </c>
    </row>
    <row r="53" ht="15.75" customHeight="1">
      <c r="D53" s="6">
        <v>52.0</v>
      </c>
    </row>
    <row r="54" ht="15.75" customHeight="1">
      <c r="D54" s="6">
        <v>53.0</v>
      </c>
    </row>
    <row r="55" ht="15.75" customHeight="1">
      <c r="D55" s="6">
        <v>54.0</v>
      </c>
    </row>
    <row r="56" ht="15.75" customHeight="1">
      <c r="D56" s="6">
        <v>55.0</v>
      </c>
    </row>
    <row r="57" ht="15.75" customHeight="1">
      <c r="D57" s="6">
        <v>56.0</v>
      </c>
    </row>
    <row r="58" ht="15.75" customHeight="1">
      <c r="D58" s="6">
        <v>57.0</v>
      </c>
    </row>
    <row r="59" ht="15.75" customHeight="1">
      <c r="D59" s="6">
        <v>58.0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29"/>
    <col customWidth="1" min="2" max="2" width="17.0"/>
    <col customWidth="1" min="3" max="3" width="12.29"/>
    <col customWidth="1" min="4" max="5" width="11.71"/>
    <col customWidth="1" min="6" max="6" width="16.43"/>
    <col customWidth="1" min="7" max="8" width="8.71"/>
    <col customWidth="1" min="9" max="9" width="13.43"/>
    <col customWidth="1" min="10" max="26" width="8.71"/>
  </cols>
  <sheetData>
    <row r="1" ht="92.25" customHeight="1">
      <c r="A1" s="10" t="s">
        <v>22</v>
      </c>
      <c r="B1" s="10" t="s">
        <v>23</v>
      </c>
      <c r="C1" s="11" t="s">
        <v>24</v>
      </c>
      <c r="D1" s="11" t="s">
        <v>43</v>
      </c>
      <c r="E1" s="12" t="s">
        <v>44</v>
      </c>
      <c r="F1" s="11" t="s">
        <v>27</v>
      </c>
      <c r="G1" s="11" t="s">
        <v>28</v>
      </c>
      <c r="H1" s="11" t="s">
        <v>29</v>
      </c>
      <c r="I1" s="11" t="s">
        <v>45</v>
      </c>
      <c r="J1" s="11" t="s">
        <v>31</v>
      </c>
      <c r="K1" s="11" t="s">
        <v>32</v>
      </c>
      <c r="L1" s="11" t="s">
        <v>46</v>
      </c>
      <c r="M1" s="14" t="s">
        <v>34</v>
      </c>
      <c r="N1" s="14" t="s">
        <v>35</v>
      </c>
      <c r="O1" s="46"/>
    </row>
    <row r="2">
      <c r="A2" s="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29"/>
    <col customWidth="1" min="2" max="2" width="17.0"/>
    <col customWidth="1" min="3" max="3" width="12.29"/>
    <col customWidth="1" min="4" max="5" width="11.71"/>
    <col customWidth="1" min="6" max="6" width="16.43"/>
    <col customWidth="1" min="7" max="8" width="8.71"/>
    <col customWidth="1" min="9" max="9" width="13.43"/>
    <col customWidth="1" min="10" max="26" width="8.71"/>
  </cols>
  <sheetData>
    <row r="1" ht="92.25" customHeight="1">
      <c r="A1" s="10" t="s">
        <v>22</v>
      </c>
      <c r="B1" s="10" t="s">
        <v>23</v>
      </c>
      <c r="C1" s="11" t="s">
        <v>24</v>
      </c>
      <c r="D1" s="11" t="s">
        <v>43</v>
      </c>
      <c r="E1" s="12" t="s">
        <v>44</v>
      </c>
      <c r="F1" s="11" t="s">
        <v>27</v>
      </c>
      <c r="G1" s="11" t="s">
        <v>28</v>
      </c>
      <c r="H1" s="11" t="s">
        <v>29</v>
      </c>
      <c r="I1" s="11" t="s">
        <v>45</v>
      </c>
      <c r="J1" s="11" t="s">
        <v>31</v>
      </c>
      <c r="K1" s="11" t="s">
        <v>32</v>
      </c>
      <c r="L1" s="11" t="s">
        <v>47</v>
      </c>
      <c r="M1" s="14" t="s">
        <v>34</v>
      </c>
      <c r="N1" s="14" t="s">
        <v>35</v>
      </c>
      <c r="O1" s="14" t="s">
        <v>36</v>
      </c>
    </row>
    <row r="2">
      <c r="A2" s="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8.29"/>
    <col customWidth="1" min="3" max="3" width="20.29"/>
    <col customWidth="1" min="4" max="4" width="27.71"/>
    <col customWidth="1" min="5" max="26" width="8.71"/>
  </cols>
  <sheetData>
    <row r="1">
      <c r="A1" s="6" t="s">
        <v>48</v>
      </c>
    </row>
    <row r="2">
      <c r="A2" s="6" t="s">
        <v>49</v>
      </c>
      <c r="B2" s="6" t="s">
        <v>50</v>
      </c>
      <c r="C2" s="6" t="s">
        <v>51</v>
      </c>
      <c r="D2" s="6" t="s">
        <v>52</v>
      </c>
    </row>
    <row r="3">
      <c r="A3" s="47" t="s">
        <v>53</v>
      </c>
      <c r="B3" s="47" t="s">
        <v>54</v>
      </c>
      <c r="C3" s="47" t="s">
        <v>55</v>
      </c>
      <c r="D3" s="48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3"/>
  </hyperlinks>
  <printOptions/>
  <pageMargins bottom="0.75" footer="0.0" header="0.0" left="0.7" right="0.7" top="0.75"/>
  <pageSetup orientation="landscape"/>
  <drawing r:id="rId2"/>
</worksheet>
</file>