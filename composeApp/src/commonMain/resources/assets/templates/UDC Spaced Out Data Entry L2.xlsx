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 Entry Sheet" sheetId="2" r:id="rId5"/>
    <sheet state="hidden" name="Sheet2" sheetId="3" r:id="rId6"/>
    <sheet state="hidden" name="Sheet1" sheetId="4" r:id="rId7"/>
    <sheet state="visible" name="Sort Sheet" sheetId="5" r:id="rId8"/>
  </sheets>
  <definedNames/>
  <calcPr/>
</workbook>
</file>

<file path=xl/sharedStrings.xml><?xml version="1.0" encoding="utf-8"?>
<sst xmlns="http://schemas.openxmlformats.org/spreadsheetml/2006/main" count="55" uniqueCount="42">
  <si>
    <t>1) Double check data on scoresheet</t>
  </si>
  <si>
    <t>2)  Fill out all white cells - do not leave any blank as data is required for assessing achievements earned and in case a tie breaker is needed</t>
  </si>
  <si>
    <t>If no UDT # ensure full names are used for handler and proper spelling for dog</t>
  </si>
  <si>
    <t>Be sure and fill out Space Cadet info - column N</t>
  </si>
  <si>
    <t>To determine placements:</t>
  </si>
  <si>
    <t>3) Go to sort sheet, place cursor in yellow box, press button to sort</t>
  </si>
  <si>
    <t>4) Review Spaced Out and Missed Catches data for tie breakers</t>
  </si>
  <si>
    <t>If need be a clear data button is available in the total column to clear the sort sheet of previous data</t>
  </si>
  <si>
    <t>Do not rearrange any columns or delete any example rows!</t>
  </si>
  <si>
    <t>Save this form as the Location name, date, game (Example:  PlantCity2-8-15TimeWarp)</t>
  </si>
  <si>
    <t>Regular event submissions:</t>
  </si>
  <si>
    <t>https://www.cognitoforms.com/UpDog1/EventResultsSubmissions</t>
  </si>
  <si>
    <t>Or the following if Bite Club games are part of your event.  Even if you play extra games at Bite Club please use the Bite Club form only for results submissions.</t>
  </si>
  <si>
    <t>https://www.cognitoforms.com/UpDog1/BiteClubResultsSubmissions</t>
  </si>
  <si>
    <t>Tie Breaking: In the event of a tie, the following criteria will be used to determine placements: The team with the most</t>
  </si>
  <si>
    <t xml:space="preserve">Spaced Out bonuses breaks the tie and then the team with the least number of missed catches would break the tie. If all </t>
  </si>
  <si>
    <t xml:space="preserve">of the above criteria is identical, the two teams will each receive an additional 15 second round to score as many points </t>
  </si>
  <si>
    <t xml:space="preserve">as possible. A disc flip will determine which team goes first. The team with the highest score after the 15 second round </t>
  </si>
  <si>
    <t>wins the tiebreaker.</t>
  </si>
  <si>
    <t>Space Out Data Entry LEVEL TWO</t>
  </si>
  <si>
    <t xml:space="preserve">Level </t>
  </si>
  <si>
    <t>Handler</t>
  </si>
  <si>
    <t>Dog</t>
  </si>
  <si>
    <r>
      <rPr>
        <rFont val="Calibri"/>
        <color theme="0"/>
        <sz val="11.0"/>
      </rPr>
      <t>UDT #</t>
    </r>
    <r>
      <rPr>
        <rFont val="Calibri"/>
        <color theme="1"/>
        <sz val="11.0"/>
      </rPr>
      <t xml:space="preserve">
(this is the UpDog Team # not the competitor #)</t>
    </r>
  </si>
  <si>
    <t>Zone catches</t>
  </si>
  <si>
    <t>Spaced Out</t>
  </si>
  <si>
    <t># Missed Catches (do not leave this field blank)</t>
  </si>
  <si>
    <t>Total for Zones</t>
  </si>
  <si>
    <r>
      <rPr>
        <rFont val="Calibri"/>
        <color theme="1"/>
        <sz val="11.0"/>
      </rPr>
      <t xml:space="preserve">Did the handler, dog and 1 disc end in the </t>
    </r>
    <r>
      <rPr>
        <rFont val="Calibri"/>
        <color theme="0"/>
        <sz val="11.0"/>
      </rPr>
      <t xml:space="preserve">Sweet Spot
</t>
    </r>
    <r>
      <rPr>
        <rFont val="Calibri"/>
        <color theme="1"/>
        <sz val="11.0"/>
      </rPr>
      <t>Y or N?</t>
    </r>
  </si>
  <si>
    <t>Total</t>
  </si>
  <si>
    <r>
      <rPr>
        <rFont val="Calibri"/>
        <color theme="1"/>
        <sz val="11.0"/>
      </rPr>
      <t xml:space="preserve">Were all throws thrown as </t>
    </r>
    <r>
      <rPr>
        <rFont val="Calibri"/>
        <color theme="0"/>
        <sz val="11.0"/>
      </rPr>
      <t xml:space="preserve">Rollers
</t>
    </r>
    <r>
      <rPr>
        <rFont val="Calibri"/>
        <color theme="1"/>
        <sz val="11.0"/>
      </rPr>
      <t>Y or N</t>
    </r>
    <r>
      <rPr>
        <rFont val="Calibri"/>
        <color theme="1"/>
        <sz val="11.0"/>
      </rPr>
      <t>?</t>
    </r>
  </si>
  <si>
    <t>High Roller</t>
  </si>
  <si>
    <t>Golden Receiver</t>
  </si>
  <si>
    <r>
      <rPr>
        <rFont val="Calibri"/>
        <color theme="0"/>
        <sz val="11.0"/>
      </rPr>
      <t>Space Cadet</t>
    </r>
    <r>
      <rPr>
        <rFont val="Calibri"/>
        <color theme="1"/>
        <sz val="11.0"/>
      </rPr>
      <t>: All discs caught. No discs caught out of the starred zones. At least one spaced out grid cleared.</t>
    </r>
  </si>
  <si>
    <t>Example</t>
  </si>
  <si>
    <t>Uppy D</t>
  </si>
  <si>
    <t>Y</t>
  </si>
  <si>
    <t>N</t>
  </si>
  <si>
    <r>
      <rPr>
        <rFont val="Calibri"/>
        <color theme="0"/>
        <sz val="11.0"/>
      </rPr>
      <t>UDT #</t>
    </r>
    <r>
      <rPr>
        <rFont val="Calibri"/>
        <color theme="1"/>
        <sz val="11.0"/>
      </rPr>
      <t xml:space="preserve">          (this is the UpDog Team # not the competitor #)</t>
    </r>
  </si>
  <si>
    <r>
      <rPr>
        <rFont val="Calibri"/>
        <color theme="1"/>
        <sz val="11.0"/>
      </rPr>
      <t xml:space="preserve">Did the handler, dog and 1 disc end in the </t>
    </r>
    <r>
      <rPr>
        <rFont val="Calibri"/>
        <color theme="0"/>
        <sz val="11.0"/>
      </rPr>
      <t>Sweet Spot</t>
    </r>
    <r>
      <rPr>
        <rFont val="Calibri"/>
        <color theme="1"/>
        <sz val="11.0"/>
      </rPr>
      <t>, Y or N?</t>
    </r>
  </si>
  <si>
    <r>
      <rPr>
        <rFont val="Calibri"/>
        <color theme="1"/>
        <sz val="11.0"/>
      </rPr>
      <t xml:space="preserve">Were all throws thrown as </t>
    </r>
    <r>
      <rPr>
        <rFont val="Calibri"/>
        <color theme="0"/>
        <sz val="11.0"/>
      </rPr>
      <t xml:space="preserve">Rollers           </t>
    </r>
    <r>
      <rPr>
        <rFont val="Calibri"/>
        <color theme="1"/>
        <sz val="11.0"/>
      </rPr>
      <t>Y or N</t>
    </r>
    <r>
      <rPr>
        <rFont val="Calibri"/>
        <color theme="1"/>
        <sz val="11.0"/>
      </rPr>
      <t>?</t>
    </r>
  </si>
  <si>
    <r>
      <rPr>
        <rFont val="Calibri"/>
        <color theme="0"/>
        <sz val="11.0"/>
      </rPr>
      <t>Space Cadet</t>
    </r>
    <r>
      <rPr>
        <rFont val="Calibri"/>
        <color theme="1"/>
        <sz val="11.0"/>
      </rPr>
      <t>: All discs caught. No discs caught out of the starred zones. At least one spaced out grid cleared.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</si>
</sst>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sz val="10.0"/>
      <color rgb="FF000000"/>
      <name val="Verdana"/>
    </font>
    <font>
      <u/>
      <sz val="11.0"/>
      <color theme="10"/>
      <name val="Calibri"/>
    </font>
    <font>
      <color theme="1"/>
      <name val="Calibri"/>
      <scheme val="minor"/>
    </font>
    <font/>
    <font>
      <sz val="11.0"/>
      <color theme="0"/>
      <name val="Calibri"/>
    </font>
    <font>
      <sz val="10.0"/>
      <color theme="1"/>
      <name val="Arial"/>
    </font>
    <font>
      <sz val="11.0"/>
      <color theme="1"/>
      <name val="Arial"/>
    </font>
    <font>
      <sz val="9.0"/>
      <color rgb="FF000000"/>
      <name val="Arial"/>
    </font>
    <font>
      <sz val="12.0"/>
      <color rgb="FF333333"/>
      <name val="Arial"/>
    </font>
    <font>
      <sz val="12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205867"/>
        <bgColor rgb="FF205867"/>
      </patternFill>
    </fill>
    <fill>
      <patternFill patternType="solid">
        <fgColor rgb="FFCCC0D9"/>
        <bgColor rgb="FFCCC0D9"/>
      </patternFill>
    </fill>
    <fill>
      <patternFill patternType="solid">
        <fgColor rgb="FFB2A1C7"/>
        <bgColor rgb="FFB2A1C7"/>
      </patternFill>
    </fill>
    <fill>
      <patternFill patternType="solid">
        <fgColor rgb="FFE5DFEC"/>
        <bgColor rgb="FFE5DFEC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</fills>
  <borders count="12">
    <border/>
    <border>
      <left/>
      <right/>
      <top/>
      <bottom/>
    </border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1" fillId="2" fontId="4" numFmtId="0" xfId="0" applyAlignment="1" applyBorder="1" applyFont="1">
      <alignment vertical="center"/>
    </xf>
    <xf borderId="1" fillId="2" fontId="5" numFmtId="0" xfId="0" applyAlignment="1" applyBorder="1" applyFont="1">
      <alignment vertical="center"/>
    </xf>
    <xf borderId="0" fillId="0" fontId="6" numFmtId="0" xfId="0" applyFont="1"/>
    <xf borderId="2" fillId="0" fontId="1" numFmtId="0" xfId="0" applyAlignment="1" applyBorder="1" applyFont="1">
      <alignment horizontal="center"/>
    </xf>
    <xf borderId="2" fillId="0" fontId="7" numFmtId="0" xfId="0" applyBorder="1" applyFont="1"/>
    <xf borderId="0" fillId="0" fontId="1" numFmtId="0" xfId="0" applyAlignment="1" applyFont="1">
      <alignment horizontal="center"/>
    </xf>
    <xf borderId="3" fillId="4" fontId="1" numFmtId="0" xfId="0" applyAlignment="1" applyBorder="1" applyFill="1" applyFont="1">
      <alignment horizontal="center" shrinkToFit="0" wrapText="1"/>
    </xf>
    <xf borderId="4" fillId="4" fontId="1" numFmtId="0" xfId="0" applyAlignment="1" applyBorder="1" applyFont="1">
      <alignment horizontal="center" shrinkToFit="0" wrapText="1"/>
    </xf>
    <xf borderId="4" fillId="4" fontId="8" numFmtId="0" xfId="0" applyAlignment="1" applyBorder="1" applyFont="1">
      <alignment horizontal="center" shrinkToFit="0" wrapText="1"/>
    </xf>
    <xf borderId="5" fillId="4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6" fillId="5" fontId="1" numFmtId="0" xfId="0" applyAlignment="1" applyBorder="1" applyFill="1" applyFont="1">
      <alignment horizontal="center"/>
    </xf>
    <xf borderId="7" fillId="5" fontId="1" numFmtId="0" xfId="0" applyAlignment="1" applyBorder="1" applyFont="1">
      <alignment horizontal="center"/>
    </xf>
    <xf borderId="8" fillId="5" fontId="1" numFmtId="0" xfId="0" applyAlignment="1" applyBorder="1" applyFont="1">
      <alignment horizontal="center"/>
    </xf>
    <xf borderId="6" fillId="0" fontId="9" numFmtId="0" xfId="0" applyBorder="1" applyFont="1"/>
    <xf borderId="6" fillId="0" fontId="9" numFmtId="0" xfId="0" applyAlignment="1" applyBorder="1" applyFont="1">
      <alignment shrinkToFit="0" wrapText="1"/>
    </xf>
    <xf borderId="9" fillId="6" fontId="1" numFmtId="0" xfId="0" applyAlignment="1" applyBorder="1" applyFill="1" applyFont="1">
      <alignment horizontal="center"/>
    </xf>
    <xf borderId="6" fillId="6" fontId="1" numFmtId="0" xfId="0" applyAlignment="1" applyBorder="1" applyFont="1">
      <alignment horizontal="center"/>
    </xf>
    <xf borderId="8" fillId="6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11" fillId="0" fontId="10" numFmtId="0" xfId="0" applyAlignment="1" applyBorder="1" applyFont="1">
      <alignment shrinkToFit="0" wrapText="1"/>
    </xf>
    <xf borderId="11" fillId="0" fontId="11" numFmtId="0" xfId="0" applyAlignment="1" applyBorder="1" applyFont="1">
      <alignment horizontal="left" shrinkToFit="0" wrapText="1"/>
    </xf>
    <xf borderId="11" fillId="0" fontId="12" numFmtId="0" xfId="0" applyAlignment="1" applyBorder="1" applyFont="1">
      <alignment shrinkToFit="0" vertical="center" wrapText="1"/>
    </xf>
    <xf borderId="11" fillId="0" fontId="13" numFmtId="0" xfId="0" applyAlignment="1" applyBorder="1" applyFont="1">
      <alignment horizontal="center" shrinkToFit="0" wrapText="1"/>
    </xf>
    <xf borderId="0" fillId="0" fontId="12" numFmtId="0" xfId="0" applyAlignment="1" applyFont="1">
      <alignment shrinkToFit="0" vertical="center" wrapText="1"/>
    </xf>
    <xf borderId="0" fillId="0" fontId="13" numFmtId="0" xfId="0" applyAlignment="1" applyFont="1">
      <alignment horizontal="center" shrinkToFit="0" wrapText="1"/>
    </xf>
    <xf borderId="6" fillId="0" fontId="10" numFmtId="0" xfId="0" applyAlignment="1" applyBorder="1" applyFont="1">
      <alignment shrinkToFit="0" wrapText="1"/>
    </xf>
    <xf borderId="6" fillId="0" fontId="13" numFmtId="0" xfId="0" applyAlignment="1" applyBorder="1" applyFont="1">
      <alignment horizontal="center" shrinkToFit="0" wrapText="1"/>
    </xf>
    <xf borderId="1" fillId="4" fontId="1" numFmtId="0" xfId="0" applyAlignment="1" applyBorder="1" applyFont="1">
      <alignment horizontal="center" shrinkToFit="0" wrapText="1"/>
    </xf>
    <xf borderId="1" fillId="7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gnitoforms.com/UpDog1/EventResultsSubmissions" TargetMode="External"/><Relationship Id="rId2" Type="http://schemas.openxmlformats.org/officeDocument/2006/relationships/hyperlink" Target="https://www.cognitoforms.com/UpDog1/BiteClubResultsSubmissions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1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>
      <c r="A8" s="1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>
      <c r="A10" s="1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>
      <c r="A11" s="1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5" t="s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6" t="s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6" t="s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8">
      <c r="A18" s="7" t="s">
        <v>14</v>
      </c>
    </row>
    <row r="19">
      <c r="A19" s="7" t="s">
        <v>15</v>
      </c>
    </row>
    <row r="20">
      <c r="A20" s="7" t="s">
        <v>16</v>
      </c>
    </row>
    <row r="21" ht="15.75" customHeight="1">
      <c r="A21" s="7" t="s">
        <v>17</v>
      </c>
    </row>
    <row r="22" ht="15.75" customHeight="1">
      <c r="A22" s="7" t="s">
        <v>18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4"/>
    <hyperlink r:id="rId2" ref="A16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2A1C7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86"/>
    <col customWidth="1" min="2" max="4" width="32.0"/>
    <col customWidth="1" min="5" max="7" width="14.57"/>
    <col customWidth="1" min="8" max="9" width="11.43"/>
    <col customWidth="1" min="10" max="10" width="6.14"/>
    <col customWidth="1" min="11" max="11" width="11.43"/>
    <col customWidth="1" min="12" max="12" width="8.86"/>
    <col customWidth="1" min="13" max="13" width="7.86"/>
    <col customWidth="1" min="14" max="14" width="16.86"/>
    <col customWidth="1" min="15" max="26" width="8.86"/>
  </cols>
  <sheetData>
    <row r="1">
      <c r="A1" s="8" t="s">
        <v>19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20</v>
      </c>
      <c r="B2" s="11" t="s">
        <v>21</v>
      </c>
      <c r="C2" s="12" t="s">
        <v>22</v>
      </c>
      <c r="D2" s="12" t="s">
        <v>23</v>
      </c>
      <c r="E2" s="13" t="s">
        <v>24</v>
      </c>
      <c r="F2" s="13" t="s">
        <v>25</v>
      </c>
      <c r="G2" s="13" t="s">
        <v>26</v>
      </c>
      <c r="H2" s="12" t="s">
        <v>27</v>
      </c>
      <c r="I2" s="12" t="s">
        <v>28</v>
      </c>
      <c r="J2" s="12" t="s">
        <v>29</v>
      </c>
      <c r="K2" s="12" t="s">
        <v>30</v>
      </c>
      <c r="L2" s="14" t="s">
        <v>31</v>
      </c>
      <c r="M2" s="12" t="s">
        <v>32</v>
      </c>
      <c r="N2" s="12" t="s">
        <v>33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9.5" customHeight="1">
      <c r="A3" s="16">
        <v>2.0</v>
      </c>
      <c r="B3" s="17" t="s">
        <v>34</v>
      </c>
      <c r="C3" s="17" t="s">
        <v>35</v>
      </c>
      <c r="D3" s="17"/>
      <c r="E3" s="16">
        <v>4.0</v>
      </c>
      <c r="F3" s="16">
        <v>1.0</v>
      </c>
      <c r="G3" s="18">
        <v>0.0</v>
      </c>
      <c r="H3" s="18">
        <f t="shared" ref="H3:H99" si="1">SUM(E3*5)+(F3*40)</f>
        <v>60</v>
      </c>
      <c r="I3" s="18" t="s">
        <v>36</v>
      </c>
      <c r="J3" s="18">
        <f t="shared" ref="J3:J99" si="2">SUM(H3)+IF(I3="Y",5,IF(I3="N",0))</f>
        <v>65</v>
      </c>
      <c r="K3" s="18" t="s">
        <v>36</v>
      </c>
      <c r="L3" s="16" t="str">
        <f t="shared" ref="L3:L99" si="3">IF(AND(J3&gt;35,K3="Y"),"Yes","No")</f>
        <v>Yes</v>
      </c>
      <c r="M3" s="16" t="str">
        <f t="shared" ref="M3:M99" si="4">IF(AND(G3&lt;1),"Yes","No")</f>
        <v>Yes</v>
      </c>
      <c r="N3" s="16" t="s">
        <v>37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9.5" customHeight="1">
      <c r="A4" s="16">
        <v>2.0</v>
      </c>
      <c r="B4" s="19"/>
      <c r="C4" s="20"/>
      <c r="D4" s="20"/>
      <c r="E4" s="21"/>
      <c r="F4" s="22"/>
      <c r="G4" s="23"/>
      <c r="H4" s="18">
        <f t="shared" si="1"/>
        <v>0</v>
      </c>
      <c r="I4" s="24"/>
      <c r="J4" s="18">
        <f t="shared" si="2"/>
        <v>0</v>
      </c>
      <c r="K4" s="24"/>
      <c r="L4" s="16" t="str">
        <f t="shared" si="3"/>
        <v>No</v>
      </c>
      <c r="M4" s="16" t="str">
        <f t="shared" si="4"/>
        <v>Yes</v>
      </c>
      <c r="N4" s="25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9.5" customHeight="1">
      <c r="A5" s="16">
        <v>2.0</v>
      </c>
      <c r="B5" s="19"/>
      <c r="C5" s="20"/>
      <c r="D5" s="20"/>
      <c r="E5" s="21"/>
      <c r="F5" s="22"/>
      <c r="G5" s="23"/>
      <c r="H5" s="18">
        <f t="shared" si="1"/>
        <v>0</v>
      </c>
      <c r="I5" s="24"/>
      <c r="J5" s="18">
        <f t="shared" si="2"/>
        <v>0</v>
      </c>
      <c r="K5" s="24"/>
      <c r="L5" s="16" t="str">
        <f t="shared" si="3"/>
        <v>No</v>
      </c>
      <c r="M5" s="16" t="str">
        <f t="shared" si="4"/>
        <v>Yes</v>
      </c>
      <c r="N5" s="25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16">
        <v>2.0</v>
      </c>
      <c r="B6" s="26"/>
      <c r="C6" s="27"/>
      <c r="D6" s="28"/>
      <c r="E6" s="21"/>
      <c r="F6" s="22"/>
      <c r="G6" s="23"/>
      <c r="H6" s="18">
        <f t="shared" si="1"/>
        <v>0</v>
      </c>
      <c r="I6" s="24"/>
      <c r="J6" s="18">
        <f t="shared" si="2"/>
        <v>0</v>
      </c>
      <c r="K6" s="24"/>
      <c r="L6" s="16" t="str">
        <f t="shared" si="3"/>
        <v>No</v>
      </c>
      <c r="M6" s="16" t="str">
        <f t="shared" si="4"/>
        <v>Yes</v>
      </c>
      <c r="N6" s="25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16">
        <v>2.0</v>
      </c>
      <c r="B7" s="26"/>
      <c r="C7" s="26"/>
      <c r="D7" s="29"/>
      <c r="E7" s="21"/>
      <c r="F7" s="22"/>
      <c r="G7" s="23"/>
      <c r="H7" s="18">
        <f t="shared" si="1"/>
        <v>0</v>
      </c>
      <c r="I7" s="24"/>
      <c r="J7" s="18">
        <f t="shared" si="2"/>
        <v>0</v>
      </c>
      <c r="K7" s="24"/>
      <c r="L7" s="16" t="str">
        <f t="shared" si="3"/>
        <v>No</v>
      </c>
      <c r="M7" s="16" t="str">
        <f t="shared" si="4"/>
        <v>Yes</v>
      </c>
      <c r="N7" s="25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9.5" customHeight="1">
      <c r="A8" s="16">
        <v>2.0</v>
      </c>
      <c r="B8" s="26"/>
      <c r="C8" s="26"/>
      <c r="D8" s="30"/>
      <c r="E8" s="21"/>
      <c r="F8" s="22"/>
      <c r="G8" s="23"/>
      <c r="H8" s="18">
        <f t="shared" si="1"/>
        <v>0</v>
      </c>
      <c r="I8" s="24"/>
      <c r="J8" s="18">
        <f t="shared" si="2"/>
        <v>0</v>
      </c>
      <c r="K8" s="24"/>
      <c r="L8" s="16" t="str">
        <f t="shared" si="3"/>
        <v>No</v>
      </c>
      <c r="M8" s="16" t="str">
        <f t="shared" si="4"/>
        <v>Yes</v>
      </c>
      <c r="N8" s="25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9.5" customHeight="1">
      <c r="A9" s="16">
        <v>2.0</v>
      </c>
      <c r="B9" s="26"/>
      <c r="C9" s="26"/>
      <c r="D9" s="31"/>
      <c r="E9" s="21"/>
      <c r="F9" s="22"/>
      <c r="G9" s="23"/>
      <c r="H9" s="18">
        <f t="shared" si="1"/>
        <v>0</v>
      </c>
      <c r="I9" s="24"/>
      <c r="J9" s="18">
        <f t="shared" si="2"/>
        <v>0</v>
      </c>
      <c r="K9" s="24"/>
      <c r="L9" s="16" t="str">
        <f t="shared" si="3"/>
        <v>No</v>
      </c>
      <c r="M9" s="16" t="str">
        <f t="shared" si="4"/>
        <v>Yes</v>
      </c>
      <c r="N9" s="25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.5" customHeight="1">
      <c r="A10" s="16">
        <v>2.0</v>
      </c>
      <c r="B10" s="26"/>
      <c r="C10" s="26"/>
      <c r="D10" s="29"/>
      <c r="E10" s="21"/>
      <c r="F10" s="22"/>
      <c r="G10" s="23"/>
      <c r="H10" s="18">
        <f t="shared" si="1"/>
        <v>0</v>
      </c>
      <c r="I10" s="24"/>
      <c r="J10" s="18">
        <f t="shared" si="2"/>
        <v>0</v>
      </c>
      <c r="K10" s="24"/>
      <c r="L10" s="16" t="str">
        <f t="shared" si="3"/>
        <v>No</v>
      </c>
      <c r="M10" s="16" t="str">
        <f t="shared" si="4"/>
        <v>Yes</v>
      </c>
      <c r="N10" s="25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9.5" customHeight="1">
      <c r="A11" s="16">
        <v>2.0</v>
      </c>
      <c r="B11" s="26"/>
      <c r="C11" s="26"/>
      <c r="D11" s="29"/>
      <c r="E11" s="21"/>
      <c r="F11" s="22"/>
      <c r="G11" s="23"/>
      <c r="H11" s="18">
        <f t="shared" si="1"/>
        <v>0</v>
      </c>
      <c r="I11" s="24"/>
      <c r="J11" s="18">
        <f t="shared" si="2"/>
        <v>0</v>
      </c>
      <c r="K11" s="24"/>
      <c r="L11" s="16" t="str">
        <f t="shared" si="3"/>
        <v>No</v>
      </c>
      <c r="M11" s="16" t="str">
        <f t="shared" si="4"/>
        <v>Yes</v>
      </c>
      <c r="N11" s="25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9.5" customHeight="1">
      <c r="A12" s="16">
        <v>2.0</v>
      </c>
      <c r="B12" s="26"/>
      <c r="C12" s="26"/>
      <c r="D12" s="28"/>
      <c r="E12" s="21"/>
      <c r="F12" s="22"/>
      <c r="G12" s="23"/>
      <c r="H12" s="18">
        <f t="shared" si="1"/>
        <v>0</v>
      </c>
      <c r="I12" s="24"/>
      <c r="J12" s="18">
        <f t="shared" si="2"/>
        <v>0</v>
      </c>
      <c r="K12" s="24"/>
      <c r="L12" s="16" t="str">
        <f t="shared" si="3"/>
        <v>No</v>
      </c>
      <c r="M12" s="16" t="str">
        <f t="shared" si="4"/>
        <v>Yes</v>
      </c>
      <c r="N12" s="25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9.5" customHeight="1">
      <c r="A13" s="16">
        <v>2.0</v>
      </c>
      <c r="B13" s="26"/>
      <c r="C13" s="26"/>
      <c r="D13" s="30"/>
      <c r="E13" s="21"/>
      <c r="F13" s="22"/>
      <c r="G13" s="23"/>
      <c r="H13" s="18">
        <f t="shared" si="1"/>
        <v>0</v>
      </c>
      <c r="I13" s="24"/>
      <c r="J13" s="18">
        <f t="shared" si="2"/>
        <v>0</v>
      </c>
      <c r="K13" s="24"/>
      <c r="L13" s="16" t="str">
        <f t="shared" si="3"/>
        <v>No</v>
      </c>
      <c r="M13" s="16" t="str">
        <f t="shared" si="4"/>
        <v>Yes</v>
      </c>
      <c r="N13" s="25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9.5" customHeight="1">
      <c r="A14" s="16">
        <v>2.0</v>
      </c>
      <c r="B14" s="26"/>
      <c r="C14" s="26"/>
      <c r="D14" s="31"/>
      <c r="E14" s="21"/>
      <c r="F14" s="22"/>
      <c r="G14" s="23"/>
      <c r="H14" s="18">
        <f t="shared" si="1"/>
        <v>0</v>
      </c>
      <c r="I14" s="24"/>
      <c r="J14" s="18">
        <f t="shared" si="2"/>
        <v>0</v>
      </c>
      <c r="K14" s="24"/>
      <c r="L14" s="16" t="str">
        <f t="shared" si="3"/>
        <v>No</v>
      </c>
      <c r="M14" s="16" t="str">
        <f t="shared" si="4"/>
        <v>Yes</v>
      </c>
      <c r="N14" s="25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9.5" customHeight="1">
      <c r="A15" s="16">
        <v>2.0</v>
      </c>
      <c r="B15" s="26"/>
      <c r="C15" s="26"/>
      <c r="D15" s="29"/>
      <c r="E15" s="21"/>
      <c r="F15" s="22"/>
      <c r="G15" s="23"/>
      <c r="H15" s="18">
        <f t="shared" si="1"/>
        <v>0</v>
      </c>
      <c r="I15" s="24"/>
      <c r="J15" s="18">
        <f t="shared" si="2"/>
        <v>0</v>
      </c>
      <c r="K15" s="24"/>
      <c r="L15" s="16" t="str">
        <f t="shared" si="3"/>
        <v>No</v>
      </c>
      <c r="M15" s="16" t="str">
        <f t="shared" si="4"/>
        <v>Yes</v>
      </c>
      <c r="N15" s="25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9.5" customHeight="1">
      <c r="A16" s="16">
        <v>2.0</v>
      </c>
      <c r="B16" s="26"/>
      <c r="C16" s="26"/>
      <c r="D16" s="29"/>
      <c r="E16" s="21"/>
      <c r="F16" s="22"/>
      <c r="G16" s="23"/>
      <c r="H16" s="18">
        <f t="shared" si="1"/>
        <v>0</v>
      </c>
      <c r="I16" s="24"/>
      <c r="J16" s="18">
        <f t="shared" si="2"/>
        <v>0</v>
      </c>
      <c r="K16" s="24"/>
      <c r="L16" s="16" t="str">
        <f t="shared" si="3"/>
        <v>No</v>
      </c>
      <c r="M16" s="16" t="str">
        <f t="shared" si="4"/>
        <v>Yes</v>
      </c>
      <c r="N16" s="25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9.5" customHeight="1">
      <c r="A17" s="16">
        <v>2.0</v>
      </c>
      <c r="B17" s="32"/>
      <c r="C17" s="32"/>
      <c r="D17" s="33"/>
      <c r="E17" s="21"/>
      <c r="F17" s="22"/>
      <c r="G17" s="23"/>
      <c r="H17" s="18">
        <f t="shared" si="1"/>
        <v>0</v>
      </c>
      <c r="I17" s="24"/>
      <c r="J17" s="18">
        <f t="shared" si="2"/>
        <v>0</v>
      </c>
      <c r="K17" s="24"/>
      <c r="L17" s="16" t="str">
        <f t="shared" si="3"/>
        <v>No</v>
      </c>
      <c r="M17" s="16" t="str">
        <f t="shared" si="4"/>
        <v>Yes</v>
      </c>
      <c r="N17" s="25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16">
        <v>2.0</v>
      </c>
      <c r="B18" s="32"/>
      <c r="C18" s="32"/>
      <c r="D18" s="33"/>
      <c r="E18" s="21"/>
      <c r="F18" s="22"/>
      <c r="G18" s="23"/>
      <c r="H18" s="18">
        <f t="shared" si="1"/>
        <v>0</v>
      </c>
      <c r="I18" s="24"/>
      <c r="J18" s="18">
        <f t="shared" si="2"/>
        <v>0</v>
      </c>
      <c r="K18" s="24"/>
      <c r="L18" s="16" t="str">
        <f t="shared" si="3"/>
        <v>No</v>
      </c>
      <c r="M18" s="16" t="str">
        <f t="shared" si="4"/>
        <v>Yes</v>
      </c>
      <c r="N18" s="25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16">
        <v>2.0</v>
      </c>
      <c r="B19" s="32"/>
      <c r="C19" s="32"/>
      <c r="D19" s="33"/>
      <c r="E19" s="21"/>
      <c r="F19" s="22"/>
      <c r="G19" s="23"/>
      <c r="H19" s="18">
        <f t="shared" si="1"/>
        <v>0</v>
      </c>
      <c r="I19" s="24"/>
      <c r="J19" s="18">
        <f t="shared" si="2"/>
        <v>0</v>
      </c>
      <c r="K19" s="24"/>
      <c r="L19" s="16" t="str">
        <f t="shared" si="3"/>
        <v>No</v>
      </c>
      <c r="M19" s="16" t="str">
        <f t="shared" si="4"/>
        <v>Yes</v>
      </c>
      <c r="N19" s="25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16">
        <v>2.0</v>
      </c>
      <c r="B20" s="32"/>
      <c r="C20" s="32"/>
      <c r="D20" s="33"/>
      <c r="E20" s="21"/>
      <c r="F20" s="22"/>
      <c r="G20" s="23"/>
      <c r="H20" s="18">
        <f t="shared" si="1"/>
        <v>0</v>
      </c>
      <c r="I20" s="24"/>
      <c r="J20" s="18">
        <f t="shared" si="2"/>
        <v>0</v>
      </c>
      <c r="K20" s="24"/>
      <c r="L20" s="16" t="str">
        <f t="shared" si="3"/>
        <v>No</v>
      </c>
      <c r="M20" s="16" t="str">
        <f t="shared" si="4"/>
        <v>Yes</v>
      </c>
      <c r="N20" s="25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9.5" customHeight="1">
      <c r="A21" s="16">
        <v>2.0</v>
      </c>
      <c r="B21" s="32"/>
      <c r="C21" s="32"/>
      <c r="D21" s="33"/>
      <c r="E21" s="21"/>
      <c r="F21" s="22"/>
      <c r="G21" s="23"/>
      <c r="H21" s="18">
        <f t="shared" si="1"/>
        <v>0</v>
      </c>
      <c r="I21" s="24"/>
      <c r="J21" s="18">
        <f t="shared" si="2"/>
        <v>0</v>
      </c>
      <c r="K21" s="24"/>
      <c r="L21" s="16" t="str">
        <f t="shared" si="3"/>
        <v>No</v>
      </c>
      <c r="M21" s="16" t="str">
        <f t="shared" si="4"/>
        <v>Yes</v>
      </c>
      <c r="N21" s="25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9.5" customHeight="1">
      <c r="A22" s="16">
        <v>2.0</v>
      </c>
      <c r="B22" s="32"/>
      <c r="C22" s="32"/>
      <c r="D22" s="33"/>
      <c r="E22" s="21"/>
      <c r="F22" s="22"/>
      <c r="G22" s="23"/>
      <c r="H22" s="18">
        <f t="shared" si="1"/>
        <v>0</v>
      </c>
      <c r="I22" s="24"/>
      <c r="J22" s="18">
        <f t="shared" si="2"/>
        <v>0</v>
      </c>
      <c r="K22" s="24"/>
      <c r="L22" s="16" t="str">
        <f t="shared" si="3"/>
        <v>No</v>
      </c>
      <c r="M22" s="16" t="str">
        <f t="shared" si="4"/>
        <v>Yes</v>
      </c>
      <c r="N22" s="25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>
      <c r="A23" s="16">
        <v>2.0</v>
      </c>
      <c r="B23" s="32"/>
      <c r="C23" s="32"/>
      <c r="D23" s="33"/>
      <c r="E23" s="21"/>
      <c r="F23" s="22"/>
      <c r="G23" s="23"/>
      <c r="H23" s="18">
        <f t="shared" si="1"/>
        <v>0</v>
      </c>
      <c r="I23" s="24"/>
      <c r="J23" s="18">
        <f t="shared" si="2"/>
        <v>0</v>
      </c>
      <c r="K23" s="24"/>
      <c r="L23" s="16" t="str">
        <f t="shared" si="3"/>
        <v>No</v>
      </c>
      <c r="M23" s="16" t="str">
        <f t="shared" si="4"/>
        <v>Yes</v>
      </c>
      <c r="N23" s="25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9.5" customHeight="1">
      <c r="A24" s="16">
        <v>2.0</v>
      </c>
      <c r="B24" s="32"/>
      <c r="C24" s="32"/>
      <c r="D24" s="33"/>
      <c r="E24" s="21"/>
      <c r="F24" s="22"/>
      <c r="G24" s="23"/>
      <c r="H24" s="18">
        <f t="shared" si="1"/>
        <v>0</v>
      </c>
      <c r="I24" s="24"/>
      <c r="J24" s="18">
        <f t="shared" si="2"/>
        <v>0</v>
      </c>
      <c r="K24" s="24"/>
      <c r="L24" s="16" t="str">
        <f t="shared" si="3"/>
        <v>No</v>
      </c>
      <c r="M24" s="16" t="str">
        <f t="shared" si="4"/>
        <v>Yes</v>
      </c>
      <c r="N24" s="25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16">
        <v>2.0</v>
      </c>
      <c r="B25" s="32"/>
      <c r="C25" s="32"/>
      <c r="D25" s="33"/>
      <c r="E25" s="21"/>
      <c r="F25" s="22"/>
      <c r="G25" s="23"/>
      <c r="H25" s="18">
        <f t="shared" si="1"/>
        <v>0</v>
      </c>
      <c r="I25" s="24"/>
      <c r="J25" s="18">
        <f t="shared" si="2"/>
        <v>0</v>
      </c>
      <c r="K25" s="24"/>
      <c r="L25" s="16" t="str">
        <f t="shared" si="3"/>
        <v>No</v>
      </c>
      <c r="M25" s="16" t="str">
        <f t="shared" si="4"/>
        <v>Yes</v>
      </c>
      <c r="N25" s="25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9.5" customHeight="1">
      <c r="A26" s="16">
        <v>2.0</v>
      </c>
      <c r="B26" s="24"/>
      <c r="C26" s="24"/>
      <c r="D26" s="24"/>
      <c r="E26" s="22"/>
      <c r="F26" s="22"/>
      <c r="G26" s="23"/>
      <c r="H26" s="18">
        <f t="shared" si="1"/>
        <v>0</v>
      </c>
      <c r="I26" s="24"/>
      <c r="J26" s="18">
        <f t="shared" si="2"/>
        <v>0</v>
      </c>
      <c r="K26" s="24"/>
      <c r="L26" s="16" t="str">
        <f t="shared" si="3"/>
        <v>No</v>
      </c>
      <c r="M26" s="16" t="str">
        <f t="shared" si="4"/>
        <v>Yes</v>
      </c>
      <c r="N26" s="25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9.5" customHeight="1">
      <c r="A27" s="16">
        <v>2.0</v>
      </c>
      <c r="B27" s="25"/>
      <c r="C27" s="25"/>
      <c r="D27" s="25"/>
      <c r="E27" s="22"/>
      <c r="F27" s="22"/>
      <c r="G27" s="23"/>
      <c r="H27" s="18">
        <f t="shared" si="1"/>
        <v>0</v>
      </c>
      <c r="I27" s="24"/>
      <c r="J27" s="18">
        <f t="shared" si="2"/>
        <v>0</v>
      </c>
      <c r="K27" s="24"/>
      <c r="L27" s="16" t="str">
        <f t="shared" si="3"/>
        <v>No</v>
      </c>
      <c r="M27" s="16" t="str">
        <f t="shared" si="4"/>
        <v>Yes</v>
      </c>
      <c r="N27" s="25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9.5" customHeight="1">
      <c r="A28" s="16">
        <v>2.0</v>
      </c>
      <c r="B28" s="25"/>
      <c r="C28" s="25"/>
      <c r="D28" s="25"/>
      <c r="E28" s="22"/>
      <c r="F28" s="22"/>
      <c r="G28" s="23"/>
      <c r="H28" s="18">
        <f t="shared" si="1"/>
        <v>0</v>
      </c>
      <c r="I28" s="24"/>
      <c r="J28" s="18">
        <f t="shared" si="2"/>
        <v>0</v>
      </c>
      <c r="K28" s="24"/>
      <c r="L28" s="16" t="str">
        <f t="shared" si="3"/>
        <v>No</v>
      </c>
      <c r="M28" s="16" t="str">
        <f t="shared" si="4"/>
        <v>Yes</v>
      </c>
      <c r="N28" s="25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9.5" customHeight="1">
      <c r="A29" s="16">
        <v>2.0</v>
      </c>
      <c r="B29" s="25"/>
      <c r="C29" s="25"/>
      <c r="D29" s="25"/>
      <c r="E29" s="22"/>
      <c r="F29" s="22"/>
      <c r="G29" s="23"/>
      <c r="H29" s="18">
        <f t="shared" si="1"/>
        <v>0</v>
      </c>
      <c r="I29" s="24"/>
      <c r="J29" s="18">
        <f t="shared" si="2"/>
        <v>0</v>
      </c>
      <c r="K29" s="24"/>
      <c r="L29" s="16" t="str">
        <f t="shared" si="3"/>
        <v>No</v>
      </c>
      <c r="M29" s="16" t="str">
        <f t="shared" si="4"/>
        <v>Yes</v>
      </c>
      <c r="N29" s="25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9.5" customHeight="1">
      <c r="A30" s="16">
        <v>2.0</v>
      </c>
      <c r="B30" s="25"/>
      <c r="C30" s="25"/>
      <c r="D30" s="25"/>
      <c r="E30" s="22"/>
      <c r="F30" s="22"/>
      <c r="G30" s="23"/>
      <c r="H30" s="18">
        <f t="shared" si="1"/>
        <v>0</v>
      </c>
      <c r="I30" s="24"/>
      <c r="J30" s="18">
        <f t="shared" si="2"/>
        <v>0</v>
      </c>
      <c r="K30" s="24"/>
      <c r="L30" s="16" t="str">
        <f t="shared" si="3"/>
        <v>No</v>
      </c>
      <c r="M30" s="16" t="str">
        <f t="shared" si="4"/>
        <v>Yes</v>
      </c>
      <c r="N30" s="25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16">
        <v>2.0</v>
      </c>
      <c r="B31" s="25"/>
      <c r="C31" s="25"/>
      <c r="D31" s="25"/>
      <c r="E31" s="22"/>
      <c r="F31" s="22"/>
      <c r="G31" s="23"/>
      <c r="H31" s="18">
        <f t="shared" si="1"/>
        <v>0</v>
      </c>
      <c r="I31" s="24"/>
      <c r="J31" s="18">
        <f t="shared" si="2"/>
        <v>0</v>
      </c>
      <c r="K31" s="24"/>
      <c r="L31" s="16" t="str">
        <f t="shared" si="3"/>
        <v>No</v>
      </c>
      <c r="M31" s="16" t="str">
        <f t="shared" si="4"/>
        <v>Yes</v>
      </c>
      <c r="N31" s="25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9.5" customHeight="1">
      <c r="A32" s="16">
        <v>2.0</v>
      </c>
      <c r="B32" s="25"/>
      <c r="C32" s="25"/>
      <c r="D32" s="25"/>
      <c r="E32" s="22"/>
      <c r="F32" s="22"/>
      <c r="G32" s="23"/>
      <c r="H32" s="18">
        <f t="shared" si="1"/>
        <v>0</v>
      </c>
      <c r="I32" s="24"/>
      <c r="J32" s="18">
        <f t="shared" si="2"/>
        <v>0</v>
      </c>
      <c r="K32" s="24"/>
      <c r="L32" s="16" t="str">
        <f t="shared" si="3"/>
        <v>No</v>
      </c>
      <c r="M32" s="16" t="str">
        <f t="shared" si="4"/>
        <v>Yes</v>
      </c>
      <c r="N32" s="25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9.5" customHeight="1">
      <c r="A33" s="16">
        <v>2.0</v>
      </c>
      <c r="B33" s="25"/>
      <c r="C33" s="25"/>
      <c r="D33" s="25"/>
      <c r="E33" s="22"/>
      <c r="F33" s="22"/>
      <c r="G33" s="23"/>
      <c r="H33" s="18">
        <f t="shared" si="1"/>
        <v>0</v>
      </c>
      <c r="I33" s="24"/>
      <c r="J33" s="18">
        <f t="shared" si="2"/>
        <v>0</v>
      </c>
      <c r="K33" s="24"/>
      <c r="L33" s="16" t="str">
        <f t="shared" si="3"/>
        <v>No</v>
      </c>
      <c r="M33" s="16" t="str">
        <f t="shared" si="4"/>
        <v>Yes</v>
      </c>
      <c r="N33" s="25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9.5" customHeight="1">
      <c r="A34" s="16">
        <v>2.0</v>
      </c>
      <c r="B34" s="25"/>
      <c r="C34" s="25"/>
      <c r="D34" s="25"/>
      <c r="E34" s="22"/>
      <c r="F34" s="22"/>
      <c r="G34" s="23"/>
      <c r="H34" s="18">
        <f t="shared" si="1"/>
        <v>0</v>
      </c>
      <c r="I34" s="24"/>
      <c r="J34" s="18">
        <f t="shared" si="2"/>
        <v>0</v>
      </c>
      <c r="K34" s="24"/>
      <c r="L34" s="16" t="str">
        <f t="shared" si="3"/>
        <v>No</v>
      </c>
      <c r="M34" s="16" t="str">
        <f t="shared" si="4"/>
        <v>Yes</v>
      </c>
      <c r="N34" s="25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16">
        <v>2.0</v>
      </c>
      <c r="B35" s="25"/>
      <c r="C35" s="25"/>
      <c r="D35" s="25"/>
      <c r="E35" s="22"/>
      <c r="F35" s="22"/>
      <c r="G35" s="23"/>
      <c r="H35" s="18">
        <f t="shared" si="1"/>
        <v>0</v>
      </c>
      <c r="I35" s="24"/>
      <c r="J35" s="18">
        <f t="shared" si="2"/>
        <v>0</v>
      </c>
      <c r="K35" s="24"/>
      <c r="L35" s="16" t="str">
        <f t="shared" si="3"/>
        <v>No</v>
      </c>
      <c r="M35" s="16" t="str">
        <f t="shared" si="4"/>
        <v>Yes</v>
      </c>
      <c r="N35" s="25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9.5" customHeight="1">
      <c r="A36" s="16">
        <v>2.0</v>
      </c>
      <c r="B36" s="25"/>
      <c r="C36" s="25"/>
      <c r="D36" s="25"/>
      <c r="E36" s="22"/>
      <c r="F36" s="22"/>
      <c r="G36" s="23"/>
      <c r="H36" s="18">
        <f t="shared" si="1"/>
        <v>0</v>
      </c>
      <c r="I36" s="24"/>
      <c r="J36" s="18">
        <f t="shared" si="2"/>
        <v>0</v>
      </c>
      <c r="K36" s="24"/>
      <c r="L36" s="16" t="str">
        <f t="shared" si="3"/>
        <v>No</v>
      </c>
      <c r="M36" s="16" t="str">
        <f t="shared" si="4"/>
        <v>Yes</v>
      </c>
      <c r="N36" s="25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9.5" customHeight="1">
      <c r="A37" s="16">
        <v>2.0</v>
      </c>
      <c r="B37" s="25"/>
      <c r="C37" s="25"/>
      <c r="D37" s="25"/>
      <c r="E37" s="22"/>
      <c r="F37" s="22"/>
      <c r="G37" s="23"/>
      <c r="H37" s="18">
        <f t="shared" si="1"/>
        <v>0</v>
      </c>
      <c r="I37" s="24"/>
      <c r="J37" s="18">
        <f t="shared" si="2"/>
        <v>0</v>
      </c>
      <c r="K37" s="24"/>
      <c r="L37" s="16" t="str">
        <f t="shared" si="3"/>
        <v>No</v>
      </c>
      <c r="M37" s="16" t="str">
        <f t="shared" si="4"/>
        <v>Yes</v>
      </c>
      <c r="N37" s="25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9.5" customHeight="1">
      <c r="A38" s="16">
        <v>2.0</v>
      </c>
      <c r="B38" s="25"/>
      <c r="C38" s="25"/>
      <c r="D38" s="25"/>
      <c r="E38" s="22"/>
      <c r="F38" s="22"/>
      <c r="G38" s="23"/>
      <c r="H38" s="18">
        <f t="shared" si="1"/>
        <v>0</v>
      </c>
      <c r="I38" s="24"/>
      <c r="J38" s="18">
        <f t="shared" si="2"/>
        <v>0</v>
      </c>
      <c r="K38" s="24"/>
      <c r="L38" s="16" t="str">
        <f t="shared" si="3"/>
        <v>No</v>
      </c>
      <c r="M38" s="16" t="str">
        <f t="shared" si="4"/>
        <v>Yes</v>
      </c>
      <c r="N38" s="25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16">
        <v>2.0</v>
      </c>
      <c r="B39" s="25"/>
      <c r="C39" s="25"/>
      <c r="D39" s="25"/>
      <c r="E39" s="22"/>
      <c r="F39" s="22"/>
      <c r="G39" s="23"/>
      <c r="H39" s="18">
        <f t="shared" si="1"/>
        <v>0</v>
      </c>
      <c r="I39" s="24"/>
      <c r="J39" s="18">
        <f t="shared" si="2"/>
        <v>0</v>
      </c>
      <c r="K39" s="24"/>
      <c r="L39" s="16" t="str">
        <f t="shared" si="3"/>
        <v>No</v>
      </c>
      <c r="M39" s="16" t="str">
        <f t="shared" si="4"/>
        <v>Yes</v>
      </c>
      <c r="N39" s="25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9.5" customHeight="1">
      <c r="A40" s="16">
        <v>2.0</v>
      </c>
      <c r="B40" s="25"/>
      <c r="C40" s="25"/>
      <c r="D40" s="25"/>
      <c r="E40" s="22"/>
      <c r="F40" s="22"/>
      <c r="G40" s="23"/>
      <c r="H40" s="18">
        <f t="shared" si="1"/>
        <v>0</v>
      </c>
      <c r="I40" s="24"/>
      <c r="J40" s="18">
        <f t="shared" si="2"/>
        <v>0</v>
      </c>
      <c r="K40" s="24"/>
      <c r="L40" s="16" t="str">
        <f t="shared" si="3"/>
        <v>No</v>
      </c>
      <c r="M40" s="16" t="str">
        <f t="shared" si="4"/>
        <v>Yes</v>
      </c>
      <c r="N40" s="25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9.5" customHeight="1">
      <c r="A41" s="16">
        <v>2.0</v>
      </c>
      <c r="B41" s="25"/>
      <c r="C41" s="25"/>
      <c r="D41" s="25"/>
      <c r="E41" s="22"/>
      <c r="F41" s="22"/>
      <c r="G41" s="23"/>
      <c r="H41" s="18">
        <f t="shared" si="1"/>
        <v>0</v>
      </c>
      <c r="I41" s="24"/>
      <c r="J41" s="18">
        <f t="shared" si="2"/>
        <v>0</v>
      </c>
      <c r="K41" s="24"/>
      <c r="L41" s="16" t="str">
        <f t="shared" si="3"/>
        <v>No</v>
      </c>
      <c r="M41" s="16" t="str">
        <f t="shared" si="4"/>
        <v>Yes</v>
      </c>
      <c r="N41" s="25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9.5" customHeight="1">
      <c r="A42" s="16">
        <v>2.0</v>
      </c>
      <c r="B42" s="25"/>
      <c r="C42" s="25"/>
      <c r="D42" s="25"/>
      <c r="E42" s="22"/>
      <c r="F42" s="22"/>
      <c r="G42" s="23"/>
      <c r="H42" s="18">
        <f t="shared" si="1"/>
        <v>0</v>
      </c>
      <c r="I42" s="24"/>
      <c r="J42" s="18">
        <f t="shared" si="2"/>
        <v>0</v>
      </c>
      <c r="K42" s="24"/>
      <c r="L42" s="16" t="str">
        <f t="shared" si="3"/>
        <v>No</v>
      </c>
      <c r="M42" s="16" t="str">
        <f t="shared" si="4"/>
        <v>Yes</v>
      </c>
      <c r="N42" s="25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9.5" customHeight="1">
      <c r="A43" s="16">
        <v>2.0</v>
      </c>
      <c r="B43" s="25"/>
      <c r="C43" s="25"/>
      <c r="D43" s="25"/>
      <c r="E43" s="22"/>
      <c r="F43" s="22"/>
      <c r="G43" s="23"/>
      <c r="H43" s="18">
        <f t="shared" si="1"/>
        <v>0</v>
      </c>
      <c r="I43" s="24"/>
      <c r="J43" s="18">
        <f t="shared" si="2"/>
        <v>0</v>
      </c>
      <c r="K43" s="24"/>
      <c r="L43" s="16" t="str">
        <f t="shared" si="3"/>
        <v>No</v>
      </c>
      <c r="M43" s="16" t="str">
        <f t="shared" si="4"/>
        <v>Yes</v>
      </c>
      <c r="N43" s="25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9.5" customHeight="1">
      <c r="A44" s="16">
        <v>2.0</v>
      </c>
      <c r="B44" s="25"/>
      <c r="C44" s="25"/>
      <c r="D44" s="25"/>
      <c r="E44" s="22"/>
      <c r="F44" s="22"/>
      <c r="G44" s="23"/>
      <c r="H44" s="18">
        <f t="shared" si="1"/>
        <v>0</v>
      </c>
      <c r="I44" s="24"/>
      <c r="J44" s="18">
        <f t="shared" si="2"/>
        <v>0</v>
      </c>
      <c r="K44" s="24"/>
      <c r="L44" s="16" t="str">
        <f t="shared" si="3"/>
        <v>No</v>
      </c>
      <c r="M44" s="16" t="str">
        <f t="shared" si="4"/>
        <v>Yes</v>
      </c>
      <c r="N44" s="25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9.5" customHeight="1">
      <c r="A45" s="16">
        <v>2.0</v>
      </c>
      <c r="B45" s="25"/>
      <c r="C45" s="25"/>
      <c r="D45" s="25"/>
      <c r="E45" s="22"/>
      <c r="F45" s="22"/>
      <c r="G45" s="23"/>
      <c r="H45" s="18">
        <f t="shared" si="1"/>
        <v>0</v>
      </c>
      <c r="I45" s="24"/>
      <c r="J45" s="18">
        <f t="shared" si="2"/>
        <v>0</v>
      </c>
      <c r="K45" s="24"/>
      <c r="L45" s="16" t="str">
        <f t="shared" si="3"/>
        <v>No</v>
      </c>
      <c r="M45" s="16" t="str">
        <f t="shared" si="4"/>
        <v>Yes</v>
      </c>
      <c r="N45" s="25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9.5" customHeight="1">
      <c r="A46" s="16">
        <v>2.0</v>
      </c>
      <c r="B46" s="25"/>
      <c r="C46" s="25"/>
      <c r="D46" s="25"/>
      <c r="E46" s="22"/>
      <c r="F46" s="22"/>
      <c r="G46" s="23"/>
      <c r="H46" s="18">
        <f t="shared" si="1"/>
        <v>0</v>
      </c>
      <c r="I46" s="24"/>
      <c r="J46" s="18">
        <f t="shared" si="2"/>
        <v>0</v>
      </c>
      <c r="K46" s="24"/>
      <c r="L46" s="16" t="str">
        <f t="shared" si="3"/>
        <v>No</v>
      </c>
      <c r="M46" s="16" t="str">
        <f t="shared" si="4"/>
        <v>Yes</v>
      </c>
      <c r="N46" s="25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9.5" customHeight="1">
      <c r="A47" s="16">
        <v>2.0</v>
      </c>
      <c r="B47" s="25"/>
      <c r="C47" s="25"/>
      <c r="D47" s="25"/>
      <c r="E47" s="22"/>
      <c r="F47" s="22"/>
      <c r="G47" s="23"/>
      <c r="H47" s="18">
        <f t="shared" si="1"/>
        <v>0</v>
      </c>
      <c r="I47" s="24"/>
      <c r="J47" s="18">
        <f t="shared" si="2"/>
        <v>0</v>
      </c>
      <c r="K47" s="24"/>
      <c r="L47" s="16" t="str">
        <f t="shared" si="3"/>
        <v>No</v>
      </c>
      <c r="M47" s="16" t="str">
        <f t="shared" si="4"/>
        <v>Yes</v>
      </c>
      <c r="N47" s="25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9.5" customHeight="1">
      <c r="A48" s="16">
        <v>2.0</v>
      </c>
      <c r="B48" s="25"/>
      <c r="C48" s="25"/>
      <c r="D48" s="25"/>
      <c r="E48" s="22"/>
      <c r="F48" s="22"/>
      <c r="G48" s="23"/>
      <c r="H48" s="18">
        <f t="shared" si="1"/>
        <v>0</v>
      </c>
      <c r="I48" s="24"/>
      <c r="J48" s="18">
        <f t="shared" si="2"/>
        <v>0</v>
      </c>
      <c r="K48" s="24"/>
      <c r="L48" s="16" t="str">
        <f t="shared" si="3"/>
        <v>No</v>
      </c>
      <c r="M48" s="16" t="str">
        <f t="shared" si="4"/>
        <v>Yes</v>
      </c>
      <c r="N48" s="25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9.5" customHeight="1">
      <c r="A49" s="16">
        <v>2.0</v>
      </c>
      <c r="B49" s="25"/>
      <c r="C49" s="25"/>
      <c r="D49" s="25"/>
      <c r="E49" s="22"/>
      <c r="F49" s="22"/>
      <c r="G49" s="23"/>
      <c r="H49" s="18">
        <f t="shared" si="1"/>
        <v>0</v>
      </c>
      <c r="I49" s="24"/>
      <c r="J49" s="18">
        <f t="shared" si="2"/>
        <v>0</v>
      </c>
      <c r="K49" s="24"/>
      <c r="L49" s="16" t="str">
        <f t="shared" si="3"/>
        <v>No</v>
      </c>
      <c r="M49" s="16" t="str">
        <f t="shared" si="4"/>
        <v>Yes</v>
      </c>
      <c r="N49" s="25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9.5" customHeight="1">
      <c r="A50" s="16">
        <v>2.0</v>
      </c>
      <c r="B50" s="25"/>
      <c r="C50" s="25"/>
      <c r="D50" s="25"/>
      <c r="E50" s="22"/>
      <c r="F50" s="22"/>
      <c r="G50" s="23"/>
      <c r="H50" s="18">
        <f t="shared" si="1"/>
        <v>0</v>
      </c>
      <c r="I50" s="24"/>
      <c r="J50" s="18">
        <f t="shared" si="2"/>
        <v>0</v>
      </c>
      <c r="K50" s="24"/>
      <c r="L50" s="16" t="str">
        <f t="shared" si="3"/>
        <v>No</v>
      </c>
      <c r="M50" s="16" t="str">
        <f t="shared" si="4"/>
        <v>Yes</v>
      </c>
      <c r="N50" s="25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16">
        <v>2.0</v>
      </c>
      <c r="B51" s="25"/>
      <c r="C51" s="25"/>
      <c r="D51" s="25"/>
      <c r="E51" s="22"/>
      <c r="F51" s="22"/>
      <c r="G51" s="23"/>
      <c r="H51" s="18">
        <f t="shared" si="1"/>
        <v>0</v>
      </c>
      <c r="I51" s="24"/>
      <c r="J51" s="18">
        <f t="shared" si="2"/>
        <v>0</v>
      </c>
      <c r="K51" s="24"/>
      <c r="L51" s="16" t="str">
        <f t="shared" si="3"/>
        <v>No</v>
      </c>
      <c r="M51" s="16" t="str">
        <f t="shared" si="4"/>
        <v>Yes</v>
      </c>
      <c r="N51" s="25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9.5" customHeight="1">
      <c r="A52" s="16">
        <v>2.0</v>
      </c>
      <c r="B52" s="25"/>
      <c r="C52" s="25"/>
      <c r="D52" s="25"/>
      <c r="E52" s="22"/>
      <c r="F52" s="22"/>
      <c r="G52" s="23"/>
      <c r="H52" s="18">
        <f t="shared" si="1"/>
        <v>0</v>
      </c>
      <c r="I52" s="24"/>
      <c r="J52" s="18">
        <f t="shared" si="2"/>
        <v>0</v>
      </c>
      <c r="K52" s="24"/>
      <c r="L52" s="16" t="str">
        <f t="shared" si="3"/>
        <v>No</v>
      </c>
      <c r="M52" s="16" t="str">
        <f t="shared" si="4"/>
        <v>Yes</v>
      </c>
      <c r="N52" s="25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9.5" customHeight="1">
      <c r="A53" s="16">
        <v>2.0</v>
      </c>
      <c r="B53" s="25"/>
      <c r="C53" s="25"/>
      <c r="D53" s="25"/>
      <c r="E53" s="22"/>
      <c r="F53" s="22"/>
      <c r="G53" s="23"/>
      <c r="H53" s="18">
        <f t="shared" si="1"/>
        <v>0</v>
      </c>
      <c r="I53" s="24"/>
      <c r="J53" s="18">
        <f t="shared" si="2"/>
        <v>0</v>
      </c>
      <c r="K53" s="24"/>
      <c r="L53" s="16" t="str">
        <f t="shared" si="3"/>
        <v>No</v>
      </c>
      <c r="M53" s="16" t="str">
        <f t="shared" si="4"/>
        <v>Yes</v>
      </c>
      <c r="N53" s="25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9.5" customHeight="1">
      <c r="A54" s="16">
        <v>2.0</v>
      </c>
      <c r="B54" s="25"/>
      <c r="C54" s="25"/>
      <c r="D54" s="25"/>
      <c r="E54" s="22"/>
      <c r="F54" s="22"/>
      <c r="G54" s="23"/>
      <c r="H54" s="18">
        <f t="shared" si="1"/>
        <v>0</v>
      </c>
      <c r="I54" s="24"/>
      <c r="J54" s="18">
        <f t="shared" si="2"/>
        <v>0</v>
      </c>
      <c r="K54" s="24"/>
      <c r="L54" s="16" t="str">
        <f t="shared" si="3"/>
        <v>No</v>
      </c>
      <c r="M54" s="16" t="str">
        <f t="shared" si="4"/>
        <v>Yes</v>
      </c>
      <c r="N54" s="25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9.5" customHeight="1">
      <c r="A55" s="16">
        <v>2.0</v>
      </c>
      <c r="B55" s="25"/>
      <c r="C55" s="25"/>
      <c r="D55" s="25"/>
      <c r="E55" s="22"/>
      <c r="F55" s="22"/>
      <c r="G55" s="23"/>
      <c r="H55" s="18">
        <f t="shared" si="1"/>
        <v>0</v>
      </c>
      <c r="I55" s="24"/>
      <c r="J55" s="18">
        <f t="shared" si="2"/>
        <v>0</v>
      </c>
      <c r="K55" s="24"/>
      <c r="L55" s="16" t="str">
        <f t="shared" si="3"/>
        <v>No</v>
      </c>
      <c r="M55" s="16" t="str">
        <f t="shared" si="4"/>
        <v>Yes</v>
      </c>
      <c r="N55" s="25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9.5" customHeight="1">
      <c r="A56" s="16">
        <v>2.0</v>
      </c>
      <c r="B56" s="25"/>
      <c r="C56" s="25"/>
      <c r="D56" s="25"/>
      <c r="E56" s="22"/>
      <c r="F56" s="22"/>
      <c r="G56" s="23"/>
      <c r="H56" s="18">
        <f t="shared" si="1"/>
        <v>0</v>
      </c>
      <c r="I56" s="24"/>
      <c r="J56" s="18">
        <f t="shared" si="2"/>
        <v>0</v>
      </c>
      <c r="K56" s="24"/>
      <c r="L56" s="16" t="str">
        <f t="shared" si="3"/>
        <v>No</v>
      </c>
      <c r="M56" s="16" t="str">
        <f t="shared" si="4"/>
        <v>Yes</v>
      </c>
      <c r="N56" s="25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9.5" customHeight="1">
      <c r="A57" s="16">
        <v>2.0</v>
      </c>
      <c r="B57" s="25"/>
      <c r="C57" s="25"/>
      <c r="D57" s="25"/>
      <c r="E57" s="22"/>
      <c r="F57" s="22"/>
      <c r="G57" s="23"/>
      <c r="H57" s="18">
        <f t="shared" si="1"/>
        <v>0</v>
      </c>
      <c r="I57" s="24"/>
      <c r="J57" s="18">
        <f t="shared" si="2"/>
        <v>0</v>
      </c>
      <c r="K57" s="24"/>
      <c r="L57" s="16" t="str">
        <f t="shared" si="3"/>
        <v>No</v>
      </c>
      <c r="M57" s="16" t="str">
        <f t="shared" si="4"/>
        <v>Yes</v>
      </c>
      <c r="N57" s="25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9.5" customHeight="1">
      <c r="A58" s="16">
        <v>2.0</v>
      </c>
      <c r="B58" s="25"/>
      <c r="C58" s="25"/>
      <c r="D58" s="25"/>
      <c r="E58" s="22"/>
      <c r="F58" s="22"/>
      <c r="G58" s="23"/>
      <c r="H58" s="18">
        <f t="shared" si="1"/>
        <v>0</v>
      </c>
      <c r="I58" s="24"/>
      <c r="J58" s="18">
        <f t="shared" si="2"/>
        <v>0</v>
      </c>
      <c r="K58" s="24"/>
      <c r="L58" s="16" t="str">
        <f t="shared" si="3"/>
        <v>No</v>
      </c>
      <c r="M58" s="16" t="str">
        <f t="shared" si="4"/>
        <v>Yes</v>
      </c>
      <c r="N58" s="25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9.5" customHeight="1">
      <c r="A59" s="16">
        <v>2.0</v>
      </c>
      <c r="B59" s="25"/>
      <c r="C59" s="25"/>
      <c r="D59" s="25"/>
      <c r="E59" s="22"/>
      <c r="F59" s="22"/>
      <c r="G59" s="23"/>
      <c r="H59" s="18">
        <f t="shared" si="1"/>
        <v>0</v>
      </c>
      <c r="I59" s="24"/>
      <c r="J59" s="18">
        <f t="shared" si="2"/>
        <v>0</v>
      </c>
      <c r="K59" s="24"/>
      <c r="L59" s="16" t="str">
        <f t="shared" si="3"/>
        <v>No</v>
      </c>
      <c r="M59" s="16" t="str">
        <f t="shared" si="4"/>
        <v>Yes</v>
      </c>
      <c r="N59" s="25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9.5" customHeight="1">
      <c r="A60" s="16">
        <v>2.0</v>
      </c>
      <c r="B60" s="25"/>
      <c r="C60" s="25"/>
      <c r="D60" s="25"/>
      <c r="E60" s="22"/>
      <c r="F60" s="22"/>
      <c r="G60" s="23"/>
      <c r="H60" s="18">
        <f t="shared" si="1"/>
        <v>0</v>
      </c>
      <c r="I60" s="24"/>
      <c r="J60" s="18">
        <f t="shared" si="2"/>
        <v>0</v>
      </c>
      <c r="K60" s="24"/>
      <c r="L60" s="16" t="str">
        <f t="shared" si="3"/>
        <v>No</v>
      </c>
      <c r="M60" s="16" t="str">
        <f t="shared" si="4"/>
        <v>Yes</v>
      </c>
      <c r="N60" s="25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9.5" customHeight="1">
      <c r="A61" s="16">
        <v>2.0</v>
      </c>
      <c r="B61" s="25"/>
      <c r="C61" s="25"/>
      <c r="D61" s="25"/>
      <c r="E61" s="22"/>
      <c r="F61" s="22"/>
      <c r="G61" s="23"/>
      <c r="H61" s="18">
        <f t="shared" si="1"/>
        <v>0</v>
      </c>
      <c r="I61" s="24"/>
      <c r="J61" s="18">
        <f t="shared" si="2"/>
        <v>0</v>
      </c>
      <c r="K61" s="24"/>
      <c r="L61" s="16" t="str">
        <f t="shared" si="3"/>
        <v>No</v>
      </c>
      <c r="M61" s="16" t="str">
        <f t="shared" si="4"/>
        <v>Yes</v>
      </c>
      <c r="N61" s="25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9.5" customHeight="1">
      <c r="A62" s="16">
        <v>2.0</v>
      </c>
      <c r="B62" s="25"/>
      <c r="C62" s="25"/>
      <c r="D62" s="25"/>
      <c r="E62" s="22"/>
      <c r="F62" s="22"/>
      <c r="G62" s="23"/>
      <c r="H62" s="18">
        <f t="shared" si="1"/>
        <v>0</v>
      </c>
      <c r="I62" s="24"/>
      <c r="J62" s="18">
        <f t="shared" si="2"/>
        <v>0</v>
      </c>
      <c r="K62" s="24"/>
      <c r="L62" s="16" t="str">
        <f t="shared" si="3"/>
        <v>No</v>
      </c>
      <c r="M62" s="16" t="str">
        <f t="shared" si="4"/>
        <v>Yes</v>
      </c>
      <c r="N62" s="25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9.5" customHeight="1">
      <c r="A63" s="16">
        <v>2.0</v>
      </c>
      <c r="B63" s="25"/>
      <c r="C63" s="25"/>
      <c r="D63" s="25"/>
      <c r="E63" s="22"/>
      <c r="F63" s="22"/>
      <c r="G63" s="23"/>
      <c r="H63" s="18">
        <f t="shared" si="1"/>
        <v>0</v>
      </c>
      <c r="I63" s="24"/>
      <c r="J63" s="18">
        <f t="shared" si="2"/>
        <v>0</v>
      </c>
      <c r="K63" s="24"/>
      <c r="L63" s="16" t="str">
        <f t="shared" si="3"/>
        <v>No</v>
      </c>
      <c r="M63" s="16" t="str">
        <f t="shared" si="4"/>
        <v>Yes</v>
      </c>
      <c r="N63" s="25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9.5" customHeight="1">
      <c r="A64" s="16">
        <v>2.0</v>
      </c>
      <c r="B64" s="25"/>
      <c r="C64" s="25"/>
      <c r="D64" s="25"/>
      <c r="E64" s="22"/>
      <c r="F64" s="22"/>
      <c r="G64" s="23"/>
      <c r="H64" s="18">
        <f t="shared" si="1"/>
        <v>0</v>
      </c>
      <c r="I64" s="24"/>
      <c r="J64" s="18">
        <f t="shared" si="2"/>
        <v>0</v>
      </c>
      <c r="K64" s="24"/>
      <c r="L64" s="16" t="str">
        <f t="shared" si="3"/>
        <v>No</v>
      </c>
      <c r="M64" s="16" t="str">
        <f t="shared" si="4"/>
        <v>Yes</v>
      </c>
      <c r="N64" s="25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9.5" customHeight="1">
      <c r="A65" s="16">
        <v>2.0</v>
      </c>
      <c r="B65" s="25"/>
      <c r="C65" s="25"/>
      <c r="D65" s="25"/>
      <c r="E65" s="22"/>
      <c r="F65" s="22"/>
      <c r="G65" s="23"/>
      <c r="H65" s="18">
        <f t="shared" si="1"/>
        <v>0</v>
      </c>
      <c r="I65" s="24"/>
      <c r="J65" s="18">
        <f t="shared" si="2"/>
        <v>0</v>
      </c>
      <c r="K65" s="24"/>
      <c r="L65" s="16" t="str">
        <f t="shared" si="3"/>
        <v>No</v>
      </c>
      <c r="M65" s="16" t="str">
        <f t="shared" si="4"/>
        <v>Yes</v>
      </c>
      <c r="N65" s="25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9.5" customHeight="1">
      <c r="A66" s="16">
        <v>2.0</v>
      </c>
      <c r="B66" s="25"/>
      <c r="C66" s="25"/>
      <c r="D66" s="25"/>
      <c r="E66" s="22"/>
      <c r="F66" s="22"/>
      <c r="G66" s="23"/>
      <c r="H66" s="18">
        <f t="shared" si="1"/>
        <v>0</v>
      </c>
      <c r="I66" s="24"/>
      <c r="J66" s="18">
        <f t="shared" si="2"/>
        <v>0</v>
      </c>
      <c r="K66" s="24"/>
      <c r="L66" s="16" t="str">
        <f t="shared" si="3"/>
        <v>No</v>
      </c>
      <c r="M66" s="16" t="str">
        <f t="shared" si="4"/>
        <v>Yes</v>
      </c>
      <c r="N66" s="25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9.5" customHeight="1">
      <c r="A67" s="16">
        <v>2.0</v>
      </c>
      <c r="B67" s="25"/>
      <c r="C67" s="25"/>
      <c r="D67" s="25"/>
      <c r="E67" s="22"/>
      <c r="F67" s="22"/>
      <c r="G67" s="23"/>
      <c r="H67" s="18">
        <f t="shared" si="1"/>
        <v>0</v>
      </c>
      <c r="I67" s="24"/>
      <c r="J67" s="18">
        <f t="shared" si="2"/>
        <v>0</v>
      </c>
      <c r="K67" s="24"/>
      <c r="L67" s="16" t="str">
        <f t="shared" si="3"/>
        <v>No</v>
      </c>
      <c r="M67" s="16" t="str">
        <f t="shared" si="4"/>
        <v>Yes</v>
      </c>
      <c r="N67" s="25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9.5" customHeight="1">
      <c r="A68" s="16">
        <v>2.0</v>
      </c>
      <c r="B68" s="25"/>
      <c r="C68" s="25"/>
      <c r="D68" s="25"/>
      <c r="E68" s="22"/>
      <c r="F68" s="22"/>
      <c r="G68" s="23"/>
      <c r="H68" s="18">
        <f t="shared" si="1"/>
        <v>0</v>
      </c>
      <c r="I68" s="24"/>
      <c r="J68" s="18">
        <f t="shared" si="2"/>
        <v>0</v>
      </c>
      <c r="K68" s="24"/>
      <c r="L68" s="16" t="str">
        <f t="shared" si="3"/>
        <v>No</v>
      </c>
      <c r="M68" s="16" t="str">
        <f t="shared" si="4"/>
        <v>Yes</v>
      </c>
      <c r="N68" s="25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9.5" customHeight="1">
      <c r="A69" s="16">
        <v>2.0</v>
      </c>
      <c r="B69" s="25"/>
      <c r="C69" s="25"/>
      <c r="D69" s="25"/>
      <c r="E69" s="22"/>
      <c r="F69" s="22"/>
      <c r="G69" s="23"/>
      <c r="H69" s="18">
        <f t="shared" si="1"/>
        <v>0</v>
      </c>
      <c r="I69" s="24"/>
      <c r="J69" s="18">
        <f t="shared" si="2"/>
        <v>0</v>
      </c>
      <c r="K69" s="24"/>
      <c r="L69" s="16" t="str">
        <f t="shared" si="3"/>
        <v>No</v>
      </c>
      <c r="M69" s="16" t="str">
        <f t="shared" si="4"/>
        <v>Yes</v>
      </c>
      <c r="N69" s="25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9.5" customHeight="1">
      <c r="A70" s="16">
        <v>2.0</v>
      </c>
      <c r="B70" s="25"/>
      <c r="C70" s="25"/>
      <c r="D70" s="25"/>
      <c r="E70" s="22"/>
      <c r="F70" s="22"/>
      <c r="G70" s="23"/>
      <c r="H70" s="18">
        <f t="shared" si="1"/>
        <v>0</v>
      </c>
      <c r="I70" s="24"/>
      <c r="J70" s="18">
        <f t="shared" si="2"/>
        <v>0</v>
      </c>
      <c r="K70" s="24"/>
      <c r="L70" s="16" t="str">
        <f t="shared" si="3"/>
        <v>No</v>
      </c>
      <c r="M70" s="16" t="str">
        <f t="shared" si="4"/>
        <v>Yes</v>
      </c>
      <c r="N70" s="25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9.5" customHeight="1">
      <c r="A71" s="16">
        <v>2.0</v>
      </c>
      <c r="B71" s="25"/>
      <c r="C71" s="25"/>
      <c r="D71" s="25"/>
      <c r="E71" s="22"/>
      <c r="F71" s="22"/>
      <c r="G71" s="23"/>
      <c r="H71" s="18">
        <f t="shared" si="1"/>
        <v>0</v>
      </c>
      <c r="I71" s="24"/>
      <c r="J71" s="18">
        <f t="shared" si="2"/>
        <v>0</v>
      </c>
      <c r="K71" s="24"/>
      <c r="L71" s="16" t="str">
        <f t="shared" si="3"/>
        <v>No</v>
      </c>
      <c r="M71" s="16" t="str">
        <f t="shared" si="4"/>
        <v>Yes</v>
      </c>
      <c r="N71" s="25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9.5" customHeight="1">
      <c r="A72" s="16">
        <v>2.0</v>
      </c>
      <c r="B72" s="25"/>
      <c r="C72" s="25"/>
      <c r="D72" s="25"/>
      <c r="E72" s="22"/>
      <c r="F72" s="22"/>
      <c r="G72" s="23"/>
      <c r="H72" s="18">
        <f t="shared" si="1"/>
        <v>0</v>
      </c>
      <c r="I72" s="24"/>
      <c r="J72" s="18">
        <f t="shared" si="2"/>
        <v>0</v>
      </c>
      <c r="K72" s="24"/>
      <c r="L72" s="16" t="str">
        <f t="shared" si="3"/>
        <v>No</v>
      </c>
      <c r="M72" s="16" t="str">
        <f t="shared" si="4"/>
        <v>Yes</v>
      </c>
      <c r="N72" s="25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9.5" customHeight="1">
      <c r="A73" s="16">
        <v>2.0</v>
      </c>
      <c r="B73" s="25"/>
      <c r="C73" s="25"/>
      <c r="D73" s="25"/>
      <c r="E73" s="22"/>
      <c r="F73" s="22"/>
      <c r="G73" s="23"/>
      <c r="H73" s="18">
        <f t="shared" si="1"/>
        <v>0</v>
      </c>
      <c r="I73" s="24"/>
      <c r="J73" s="18">
        <f t="shared" si="2"/>
        <v>0</v>
      </c>
      <c r="K73" s="24"/>
      <c r="L73" s="16" t="str">
        <f t="shared" si="3"/>
        <v>No</v>
      </c>
      <c r="M73" s="16" t="str">
        <f t="shared" si="4"/>
        <v>Yes</v>
      </c>
      <c r="N73" s="25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9.5" customHeight="1">
      <c r="A74" s="16">
        <v>2.0</v>
      </c>
      <c r="B74" s="25"/>
      <c r="C74" s="25"/>
      <c r="D74" s="25"/>
      <c r="E74" s="22"/>
      <c r="F74" s="22"/>
      <c r="G74" s="23"/>
      <c r="H74" s="18">
        <f t="shared" si="1"/>
        <v>0</v>
      </c>
      <c r="I74" s="24"/>
      <c r="J74" s="18">
        <f t="shared" si="2"/>
        <v>0</v>
      </c>
      <c r="K74" s="24"/>
      <c r="L74" s="16" t="str">
        <f t="shared" si="3"/>
        <v>No</v>
      </c>
      <c r="M74" s="16" t="str">
        <f t="shared" si="4"/>
        <v>Yes</v>
      </c>
      <c r="N74" s="25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9.5" customHeight="1">
      <c r="A75" s="16">
        <v>2.0</v>
      </c>
      <c r="B75" s="25"/>
      <c r="C75" s="25"/>
      <c r="D75" s="25"/>
      <c r="E75" s="22"/>
      <c r="F75" s="22"/>
      <c r="G75" s="23"/>
      <c r="H75" s="18">
        <f t="shared" si="1"/>
        <v>0</v>
      </c>
      <c r="I75" s="24"/>
      <c r="J75" s="18">
        <f t="shared" si="2"/>
        <v>0</v>
      </c>
      <c r="K75" s="24"/>
      <c r="L75" s="16" t="str">
        <f t="shared" si="3"/>
        <v>No</v>
      </c>
      <c r="M75" s="16" t="str">
        <f t="shared" si="4"/>
        <v>Yes</v>
      </c>
      <c r="N75" s="25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9.5" customHeight="1">
      <c r="A76" s="16">
        <v>2.0</v>
      </c>
      <c r="B76" s="25"/>
      <c r="C76" s="25"/>
      <c r="D76" s="25"/>
      <c r="E76" s="22"/>
      <c r="F76" s="22"/>
      <c r="G76" s="23"/>
      <c r="H76" s="18">
        <f t="shared" si="1"/>
        <v>0</v>
      </c>
      <c r="I76" s="24"/>
      <c r="J76" s="18">
        <f t="shared" si="2"/>
        <v>0</v>
      </c>
      <c r="K76" s="24"/>
      <c r="L76" s="16" t="str">
        <f t="shared" si="3"/>
        <v>No</v>
      </c>
      <c r="M76" s="16" t="str">
        <f t="shared" si="4"/>
        <v>Yes</v>
      </c>
      <c r="N76" s="25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9.5" customHeight="1">
      <c r="A77" s="16">
        <v>2.0</v>
      </c>
      <c r="B77" s="25"/>
      <c r="C77" s="25"/>
      <c r="D77" s="25"/>
      <c r="E77" s="22"/>
      <c r="F77" s="22"/>
      <c r="G77" s="23"/>
      <c r="H77" s="18">
        <f t="shared" si="1"/>
        <v>0</v>
      </c>
      <c r="I77" s="24"/>
      <c r="J77" s="18">
        <f t="shared" si="2"/>
        <v>0</v>
      </c>
      <c r="K77" s="24"/>
      <c r="L77" s="16" t="str">
        <f t="shared" si="3"/>
        <v>No</v>
      </c>
      <c r="M77" s="16" t="str">
        <f t="shared" si="4"/>
        <v>Yes</v>
      </c>
      <c r="N77" s="25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9.5" customHeight="1">
      <c r="A78" s="16">
        <v>2.0</v>
      </c>
      <c r="B78" s="25"/>
      <c r="C78" s="25"/>
      <c r="D78" s="25"/>
      <c r="E78" s="22"/>
      <c r="F78" s="22"/>
      <c r="G78" s="23"/>
      <c r="H78" s="18">
        <f t="shared" si="1"/>
        <v>0</v>
      </c>
      <c r="I78" s="24"/>
      <c r="J78" s="18">
        <f t="shared" si="2"/>
        <v>0</v>
      </c>
      <c r="K78" s="24"/>
      <c r="L78" s="16" t="str">
        <f t="shared" si="3"/>
        <v>No</v>
      </c>
      <c r="M78" s="16" t="str">
        <f t="shared" si="4"/>
        <v>Yes</v>
      </c>
      <c r="N78" s="25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9.5" customHeight="1">
      <c r="A79" s="16">
        <v>2.0</v>
      </c>
      <c r="B79" s="25"/>
      <c r="C79" s="25"/>
      <c r="D79" s="25"/>
      <c r="E79" s="22"/>
      <c r="F79" s="22"/>
      <c r="G79" s="23"/>
      <c r="H79" s="18">
        <f t="shared" si="1"/>
        <v>0</v>
      </c>
      <c r="I79" s="24"/>
      <c r="J79" s="18">
        <f t="shared" si="2"/>
        <v>0</v>
      </c>
      <c r="K79" s="24"/>
      <c r="L79" s="16" t="str">
        <f t="shared" si="3"/>
        <v>No</v>
      </c>
      <c r="M79" s="16" t="str">
        <f t="shared" si="4"/>
        <v>Yes</v>
      </c>
      <c r="N79" s="25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9.5" customHeight="1">
      <c r="A80" s="16">
        <v>2.0</v>
      </c>
      <c r="B80" s="25"/>
      <c r="C80" s="25"/>
      <c r="D80" s="25"/>
      <c r="E80" s="22"/>
      <c r="F80" s="22"/>
      <c r="G80" s="23"/>
      <c r="H80" s="18">
        <f t="shared" si="1"/>
        <v>0</v>
      </c>
      <c r="I80" s="24"/>
      <c r="J80" s="18">
        <f t="shared" si="2"/>
        <v>0</v>
      </c>
      <c r="K80" s="24"/>
      <c r="L80" s="16" t="str">
        <f t="shared" si="3"/>
        <v>No</v>
      </c>
      <c r="M80" s="16" t="str">
        <f t="shared" si="4"/>
        <v>Yes</v>
      </c>
      <c r="N80" s="25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9.5" customHeight="1">
      <c r="A81" s="16">
        <v>2.0</v>
      </c>
      <c r="B81" s="25"/>
      <c r="C81" s="25"/>
      <c r="D81" s="25"/>
      <c r="E81" s="22"/>
      <c r="F81" s="22"/>
      <c r="G81" s="23"/>
      <c r="H81" s="18">
        <f t="shared" si="1"/>
        <v>0</v>
      </c>
      <c r="I81" s="24"/>
      <c r="J81" s="18">
        <f t="shared" si="2"/>
        <v>0</v>
      </c>
      <c r="K81" s="24"/>
      <c r="L81" s="16" t="str">
        <f t="shared" si="3"/>
        <v>No</v>
      </c>
      <c r="M81" s="16" t="str">
        <f t="shared" si="4"/>
        <v>Yes</v>
      </c>
      <c r="N81" s="25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9.5" customHeight="1">
      <c r="A82" s="16">
        <v>2.0</v>
      </c>
      <c r="B82" s="25"/>
      <c r="C82" s="25"/>
      <c r="D82" s="25"/>
      <c r="E82" s="22"/>
      <c r="F82" s="22"/>
      <c r="G82" s="23"/>
      <c r="H82" s="18">
        <f t="shared" si="1"/>
        <v>0</v>
      </c>
      <c r="I82" s="24"/>
      <c r="J82" s="18">
        <f t="shared" si="2"/>
        <v>0</v>
      </c>
      <c r="K82" s="24"/>
      <c r="L82" s="16" t="str">
        <f t="shared" si="3"/>
        <v>No</v>
      </c>
      <c r="M82" s="16" t="str">
        <f t="shared" si="4"/>
        <v>Yes</v>
      </c>
      <c r="N82" s="25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>
      <c r="A83" s="16">
        <v>2.0</v>
      </c>
      <c r="B83" s="25"/>
      <c r="C83" s="25"/>
      <c r="D83" s="25"/>
      <c r="E83" s="22"/>
      <c r="F83" s="22"/>
      <c r="G83" s="23"/>
      <c r="H83" s="18">
        <f t="shared" si="1"/>
        <v>0</v>
      </c>
      <c r="I83" s="24"/>
      <c r="J83" s="18">
        <f t="shared" si="2"/>
        <v>0</v>
      </c>
      <c r="K83" s="24"/>
      <c r="L83" s="16" t="str">
        <f t="shared" si="3"/>
        <v>No</v>
      </c>
      <c r="M83" s="16" t="str">
        <f t="shared" si="4"/>
        <v>Yes</v>
      </c>
      <c r="N83" s="25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9.5" customHeight="1">
      <c r="A84" s="16">
        <v>2.0</v>
      </c>
      <c r="B84" s="25"/>
      <c r="C84" s="25"/>
      <c r="D84" s="25"/>
      <c r="E84" s="22"/>
      <c r="F84" s="22"/>
      <c r="G84" s="23"/>
      <c r="H84" s="18">
        <f t="shared" si="1"/>
        <v>0</v>
      </c>
      <c r="I84" s="24"/>
      <c r="J84" s="18">
        <f t="shared" si="2"/>
        <v>0</v>
      </c>
      <c r="K84" s="24"/>
      <c r="L84" s="16" t="str">
        <f t="shared" si="3"/>
        <v>No</v>
      </c>
      <c r="M84" s="16" t="str">
        <f t="shared" si="4"/>
        <v>Yes</v>
      </c>
      <c r="N84" s="25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9.5" customHeight="1">
      <c r="A85" s="16">
        <v>2.0</v>
      </c>
      <c r="B85" s="25"/>
      <c r="C85" s="25"/>
      <c r="D85" s="25"/>
      <c r="E85" s="22"/>
      <c r="F85" s="22"/>
      <c r="G85" s="23"/>
      <c r="H85" s="18">
        <f t="shared" si="1"/>
        <v>0</v>
      </c>
      <c r="I85" s="24"/>
      <c r="J85" s="18">
        <f t="shared" si="2"/>
        <v>0</v>
      </c>
      <c r="K85" s="24"/>
      <c r="L85" s="16" t="str">
        <f t="shared" si="3"/>
        <v>No</v>
      </c>
      <c r="M85" s="16" t="str">
        <f t="shared" si="4"/>
        <v>Yes</v>
      </c>
      <c r="N85" s="25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9.5" customHeight="1">
      <c r="A86" s="16">
        <v>2.0</v>
      </c>
      <c r="B86" s="25"/>
      <c r="C86" s="25"/>
      <c r="D86" s="25"/>
      <c r="E86" s="22"/>
      <c r="F86" s="22"/>
      <c r="G86" s="23"/>
      <c r="H86" s="18">
        <f t="shared" si="1"/>
        <v>0</v>
      </c>
      <c r="I86" s="24"/>
      <c r="J86" s="18">
        <f t="shared" si="2"/>
        <v>0</v>
      </c>
      <c r="K86" s="24"/>
      <c r="L86" s="16" t="str">
        <f t="shared" si="3"/>
        <v>No</v>
      </c>
      <c r="M86" s="16" t="str">
        <f t="shared" si="4"/>
        <v>Yes</v>
      </c>
      <c r="N86" s="25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9.5" customHeight="1">
      <c r="A87" s="16">
        <v>2.0</v>
      </c>
      <c r="B87" s="25"/>
      <c r="C87" s="25"/>
      <c r="D87" s="25"/>
      <c r="E87" s="22"/>
      <c r="F87" s="22"/>
      <c r="G87" s="23"/>
      <c r="H87" s="18">
        <f t="shared" si="1"/>
        <v>0</v>
      </c>
      <c r="I87" s="24"/>
      <c r="J87" s="18">
        <f t="shared" si="2"/>
        <v>0</v>
      </c>
      <c r="K87" s="24"/>
      <c r="L87" s="16" t="str">
        <f t="shared" si="3"/>
        <v>No</v>
      </c>
      <c r="M87" s="16" t="str">
        <f t="shared" si="4"/>
        <v>Yes</v>
      </c>
      <c r="N87" s="25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9.5" customHeight="1">
      <c r="A88" s="16">
        <v>2.0</v>
      </c>
      <c r="B88" s="25"/>
      <c r="C88" s="25"/>
      <c r="D88" s="25"/>
      <c r="E88" s="22"/>
      <c r="F88" s="22"/>
      <c r="G88" s="23"/>
      <c r="H88" s="18">
        <f t="shared" si="1"/>
        <v>0</v>
      </c>
      <c r="I88" s="24"/>
      <c r="J88" s="18">
        <f t="shared" si="2"/>
        <v>0</v>
      </c>
      <c r="K88" s="24"/>
      <c r="L88" s="16" t="str">
        <f t="shared" si="3"/>
        <v>No</v>
      </c>
      <c r="M88" s="16" t="str">
        <f t="shared" si="4"/>
        <v>Yes</v>
      </c>
      <c r="N88" s="25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9.5" customHeight="1">
      <c r="A89" s="16">
        <v>2.0</v>
      </c>
      <c r="B89" s="25"/>
      <c r="C89" s="25"/>
      <c r="D89" s="25"/>
      <c r="E89" s="22"/>
      <c r="F89" s="22"/>
      <c r="G89" s="23"/>
      <c r="H89" s="18">
        <f t="shared" si="1"/>
        <v>0</v>
      </c>
      <c r="I89" s="24"/>
      <c r="J89" s="18">
        <f t="shared" si="2"/>
        <v>0</v>
      </c>
      <c r="K89" s="24"/>
      <c r="L89" s="16" t="str">
        <f t="shared" si="3"/>
        <v>No</v>
      </c>
      <c r="M89" s="16" t="str">
        <f t="shared" si="4"/>
        <v>Yes</v>
      </c>
      <c r="N89" s="25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9.5" customHeight="1">
      <c r="A90" s="16">
        <v>2.0</v>
      </c>
      <c r="B90" s="25"/>
      <c r="C90" s="25"/>
      <c r="D90" s="25"/>
      <c r="E90" s="22"/>
      <c r="F90" s="22"/>
      <c r="G90" s="23"/>
      <c r="H90" s="18">
        <f t="shared" si="1"/>
        <v>0</v>
      </c>
      <c r="I90" s="24"/>
      <c r="J90" s="18">
        <f t="shared" si="2"/>
        <v>0</v>
      </c>
      <c r="K90" s="24"/>
      <c r="L90" s="16" t="str">
        <f t="shared" si="3"/>
        <v>No</v>
      </c>
      <c r="M90" s="16" t="str">
        <f t="shared" si="4"/>
        <v>Yes</v>
      </c>
      <c r="N90" s="25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9.5" customHeight="1">
      <c r="A91" s="16">
        <v>2.0</v>
      </c>
      <c r="B91" s="25"/>
      <c r="C91" s="25"/>
      <c r="D91" s="25"/>
      <c r="E91" s="22"/>
      <c r="F91" s="22"/>
      <c r="G91" s="23"/>
      <c r="H91" s="18">
        <f t="shared" si="1"/>
        <v>0</v>
      </c>
      <c r="I91" s="24"/>
      <c r="J91" s="18">
        <f t="shared" si="2"/>
        <v>0</v>
      </c>
      <c r="K91" s="24"/>
      <c r="L91" s="16" t="str">
        <f t="shared" si="3"/>
        <v>No</v>
      </c>
      <c r="M91" s="16" t="str">
        <f t="shared" si="4"/>
        <v>Yes</v>
      </c>
      <c r="N91" s="25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9.5" customHeight="1">
      <c r="A92" s="16">
        <v>2.0</v>
      </c>
      <c r="B92" s="25"/>
      <c r="C92" s="25"/>
      <c r="D92" s="25"/>
      <c r="E92" s="22"/>
      <c r="F92" s="22"/>
      <c r="G92" s="23"/>
      <c r="H92" s="18">
        <f t="shared" si="1"/>
        <v>0</v>
      </c>
      <c r="I92" s="24"/>
      <c r="J92" s="18">
        <f t="shared" si="2"/>
        <v>0</v>
      </c>
      <c r="K92" s="24"/>
      <c r="L92" s="16" t="str">
        <f t="shared" si="3"/>
        <v>No</v>
      </c>
      <c r="M92" s="16" t="str">
        <f t="shared" si="4"/>
        <v>Yes</v>
      </c>
      <c r="N92" s="25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9.5" customHeight="1">
      <c r="A93" s="16">
        <v>2.0</v>
      </c>
      <c r="B93" s="25"/>
      <c r="C93" s="25"/>
      <c r="D93" s="25"/>
      <c r="E93" s="22"/>
      <c r="F93" s="22"/>
      <c r="G93" s="23"/>
      <c r="H93" s="18">
        <f t="shared" si="1"/>
        <v>0</v>
      </c>
      <c r="I93" s="24"/>
      <c r="J93" s="18">
        <f t="shared" si="2"/>
        <v>0</v>
      </c>
      <c r="K93" s="24"/>
      <c r="L93" s="16" t="str">
        <f t="shared" si="3"/>
        <v>No</v>
      </c>
      <c r="M93" s="16" t="str">
        <f t="shared" si="4"/>
        <v>Yes</v>
      </c>
      <c r="N93" s="25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9.5" customHeight="1">
      <c r="A94" s="16">
        <v>2.0</v>
      </c>
      <c r="B94" s="25"/>
      <c r="C94" s="25"/>
      <c r="D94" s="25"/>
      <c r="E94" s="22"/>
      <c r="F94" s="22"/>
      <c r="G94" s="23"/>
      <c r="H94" s="18">
        <f t="shared" si="1"/>
        <v>0</v>
      </c>
      <c r="I94" s="24"/>
      <c r="J94" s="18">
        <f t="shared" si="2"/>
        <v>0</v>
      </c>
      <c r="K94" s="24"/>
      <c r="L94" s="16" t="str">
        <f t="shared" si="3"/>
        <v>No</v>
      </c>
      <c r="M94" s="16" t="str">
        <f t="shared" si="4"/>
        <v>Yes</v>
      </c>
      <c r="N94" s="25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9.5" customHeight="1">
      <c r="A95" s="16">
        <v>2.0</v>
      </c>
      <c r="B95" s="25"/>
      <c r="C95" s="25"/>
      <c r="D95" s="25"/>
      <c r="E95" s="22"/>
      <c r="F95" s="22"/>
      <c r="G95" s="23"/>
      <c r="H95" s="18">
        <f t="shared" si="1"/>
        <v>0</v>
      </c>
      <c r="I95" s="24"/>
      <c r="J95" s="18">
        <f t="shared" si="2"/>
        <v>0</v>
      </c>
      <c r="K95" s="24"/>
      <c r="L95" s="16" t="str">
        <f t="shared" si="3"/>
        <v>No</v>
      </c>
      <c r="M95" s="16" t="str">
        <f t="shared" si="4"/>
        <v>Yes</v>
      </c>
      <c r="N95" s="25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9.5" customHeight="1">
      <c r="A96" s="16">
        <v>2.0</v>
      </c>
      <c r="B96" s="25"/>
      <c r="C96" s="25"/>
      <c r="D96" s="25"/>
      <c r="E96" s="22"/>
      <c r="F96" s="22"/>
      <c r="G96" s="23"/>
      <c r="H96" s="18">
        <f t="shared" si="1"/>
        <v>0</v>
      </c>
      <c r="I96" s="24"/>
      <c r="J96" s="18">
        <f t="shared" si="2"/>
        <v>0</v>
      </c>
      <c r="K96" s="24"/>
      <c r="L96" s="16" t="str">
        <f t="shared" si="3"/>
        <v>No</v>
      </c>
      <c r="M96" s="16" t="str">
        <f t="shared" si="4"/>
        <v>Yes</v>
      </c>
      <c r="N96" s="25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9.5" customHeight="1">
      <c r="A97" s="16">
        <v>2.0</v>
      </c>
      <c r="B97" s="25"/>
      <c r="C97" s="25"/>
      <c r="D97" s="25"/>
      <c r="E97" s="22"/>
      <c r="F97" s="22"/>
      <c r="G97" s="23"/>
      <c r="H97" s="18">
        <f t="shared" si="1"/>
        <v>0</v>
      </c>
      <c r="I97" s="24"/>
      <c r="J97" s="18">
        <f t="shared" si="2"/>
        <v>0</v>
      </c>
      <c r="K97" s="24"/>
      <c r="L97" s="16" t="str">
        <f t="shared" si="3"/>
        <v>No</v>
      </c>
      <c r="M97" s="16" t="str">
        <f t="shared" si="4"/>
        <v>Yes</v>
      </c>
      <c r="N97" s="25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9.5" customHeight="1">
      <c r="A98" s="16">
        <v>2.0</v>
      </c>
      <c r="B98" s="25"/>
      <c r="C98" s="25"/>
      <c r="D98" s="25"/>
      <c r="E98" s="22"/>
      <c r="F98" s="22"/>
      <c r="G98" s="23"/>
      <c r="H98" s="18">
        <f t="shared" si="1"/>
        <v>0</v>
      </c>
      <c r="I98" s="24"/>
      <c r="J98" s="18">
        <f t="shared" si="2"/>
        <v>0</v>
      </c>
      <c r="K98" s="24"/>
      <c r="L98" s="16" t="str">
        <f t="shared" si="3"/>
        <v>No</v>
      </c>
      <c r="M98" s="16" t="str">
        <f t="shared" si="4"/>
        <v>Yes</v>
      </c>
      <c r="N98" s="25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9.5" customHeight="1">
      <c r="A99" s="16">
        <v>2.0</v>
      </c>
      <c r="B99" s="25"/>
      <c r="C99" s="25"/>
      <c r="D99" s="25"/>
      <c r="E99" s="22"/>
      <c r="F99" s="22"/>
      <c r="G99" s="23"/>
      <c r="H99" s="18">
        <f t="shared" si="1"/>
        <v>0</v>
      </c>
      <c r="I99" s="24"/>
      <c r="J99" s="18">
        <f t="shared" si="2"/>
        <v>0</v>
      </c>
      <c r="K99" s="24"/>
      <c r="L99" s="16" t="str">
        <f t="shared" si="3"/>
        <v>No</v>
      </c>
      <c r="M99" s="16" t="str">
        <f t="shared" si="4"/>
        <v>Yes</v>
      </c>
      <c r="N99" s="25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9.5" customHeight="1">
      <c r="A100" s="10"/>
      <c r="B100" s="25"/>
      <c r="C100" s="25"/>
      <c r="D100" s="25"/>
      <c r="E100" s="25"/>
      <c r="F100" s="25"/>
      <c r="G100" s="24"/>
      <c r="H100" s="25"/>
      <c r="I100" s="25"/>
      <c r="J100" s="25"/>
      <c r="K100" s="25"/>
      <c r="L100" s="10"/>
      <c r="M100" s="25"/>
      <c r="N100" s="25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10"/>
      <c r="M101" s="25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10"/>
      <c r="M102" s="25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10"/>
      <c r="M103" s="25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10"/>
      <c r="M104" s="25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10"/>
      <c r="M105" s="25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10"/>
      <c r="M106" s="25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10"/>
      <c r="M107" s="25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10"/>
      <c r="M108" s="25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10"/>
      <c r="M109" s="25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10"/>
      <c r="M110" s="25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10"/>
      <c r="M111" s="25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10"/>
      <c r="M112" s="25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10"/>
      <c r="M113" s="25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10"/>
      <c r="M114" s="25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10"/>
      <c r="M115" s="25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10"/>
      <c r="M116" s="25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10"/>
      <c r="M117" s="25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10"/>
      <c r="M118" s="25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10"/>
      <c r="M119" s="25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10"/>
      <c r="M120" s="25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10"/>
      <c r="M121" s="25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10"/>
      <c r="M122" s="25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10"/>
      <c r="M123" s="25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10"/>
      <c r="M124" s="25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10"/>
      <c r="M125" s="25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10"/>
      <c r="M126" s="25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10"/>
      <c r="M127" s="25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10"/>
      <c r="M128" s="25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10"/>
      <c r="M129" s="25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10"/>
      <c r="M130" s="25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10"/>
      <c r="M131" s="25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10"/>
      <c r="M132" s="25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10"/>
      <c r="M133" s="25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10"/>
      <c r="M134" s="25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10"/>
      <c r="M135" s="25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10"/>
      <c r="M136" s="25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10"/>
      <c r="M137" s="25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10"/>
      <c r="M138" s="25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10"/>
      <c r="M139" s="25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10"/>
      <c r="M140" s="25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10"/>
      <c r="M141" s="25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10"/>
      <c r="M142" s="25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10"/>
      <c r="M143" s="25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10"/>
      <c r="M144" s="25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10"/>
      <c r="M145" s="25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10"/>
      <c r="M146" s="25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10"/>
      <c r="M147" s="25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10"/>
      <c r="M148" s="25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10"/>
      <c r="M149" s="25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10"/>
      <c r="M150" s="25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10"/>
      <c r="M151" s="25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10"/>
      <c r="M152" s="25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10"/>
      <c r="M153" s="25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10"/>
      <c r="M154" s="25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10"/>
      <c r="M155" s="25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10"/>
      <c r="M156" s="25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10"/>
      <c r="M157" s="25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10"/>
      <c r="M158" s="25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10"/>
      <c r="M159" s="25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10"/>
      <c r="M160" s="25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10"/>
      <c r="M161" s="25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10"/>
      <c r="M162" s="25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10"/>
      <c r="M163" s="25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10"/>
      <c r="M164" s="25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10"/>
      <c r="M165" s="25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10"/>
      <c r="M166" s="25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10"/>
      <c r="M167" s="25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10"/>
      <c r="M168" s="25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10"/>
      <c r="M169" s="25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10"/>
      <c r="M170" s="25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10"/>
      <c r="M171" s="25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10"/>
      <c r="M172" s="25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10"/>
      <c r="M173" s="25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10"/>
      <c r="M174" s="25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10"/>
      <c r="M175" s="25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10"/>
      <c r="M176" s="25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10"/>
      <c r="M177" s="25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10"/>
      <c r="M178" s="25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10"/>
      <c r="M179" s="25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10"/>
      <c r="M180" s="25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10"/>
      <c r="M181" s="25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10"/>
      <c r="M182" s="25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10"/>
      <c r="M183" s="25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10"/>
      <c r="M184" s="25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10"/>
      <c r="M185" s="25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10"/>
      <c r="M186" s="25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10"/>
      <c r="M187" s="25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10"/>
      <c r="M188" s="25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10"/>
      <c r="M189" s="25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10"/>
      <c r="M190" s="25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10"/>
      <c r="M191" s="25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10"/>
      <c r="M192" s="25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10"/>
      <c r="M193" s="25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10"/>
      <c r="M194" s="25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10"/>
      <c r="M195" s="25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10"/>
      <c r="M196" s="25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10"/>
      <c r="M197" s="25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10"/>
      <c r="M198" s="25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10"/>
      <c r="M199" s="25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10"/>
      <c r="M200" s="25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10"/>
      <c r="M201" s="25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10"/>
      <c r="M202" s="25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10"/>
      <c r="M203" s="25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10"/>
      <c r="M204" s="25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10"/>
      <c r="M205" s="25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10"/>
      <c r="M206" s="25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10"/>
      <c r="M207" s="25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10"/>
      <c r="M208" s="25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10"/>
      <c r="M209" s="25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10"/>
      <c r="M210" s="25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10"/>
      <c r="M211" s="25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10"/>
      <c r="M212" s="25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10"/>
      <c r="M213" s="25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10"/>
      <c r="M214" s="25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10"/>
      <c r="M215" s="25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10"/>
      <c r="M216" s="25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10"/>
      <c r="M217" s="25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10"/>
      <c r="M218" s="25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10"/>
      <c r="M219" s="25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10"/>
      <c r="M220" s="25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10"/>
      <c r="M221" s="25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10"/>
      <c r="M222" s="25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10"/>
      <c r="M223" s="25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10"/>
      <c r="M224" s="25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10"/>
      <c r="M225" s="25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10"/>
      <c r="M226" s="25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10"/>
      <c r="M227" s="25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10"/>
      <c r="M228" s="25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10"/>
      <c r="M229" s="25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10"/>
      <c r="M230" s="25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10"/>
      <c r="M231" s="25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10"/>
      <c r="M232" s="25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10"/>
      <c r="M233" s="25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10"/>
      <c r="M234" s="25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10"/>
      <c r="M235" s="25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10"/>
      <c r="M236" s="25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10"/>
      <c r="M237" s="25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10"/>
      <c r="M238" s="25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10"/>
      <c r="M239" s="25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10"/>
      <c r="M240" s="25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10"/>
      <c r="M241" s="25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10"/>
      <c r="M242" s="25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10"/>
      <c r="M243" s="25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10"/>
      <c r="M244" s="25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10"/>
      <c r="M245" s="25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10"/>
      <c r="M246" s="25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10"/>
      <c r="M247" s="25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10"/>
      <c r="M248" s="25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10"/>
      <c r="M249" s="25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10"/>
      <c r="M250" s="25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10"/>
      <c r="M251" s="25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10"/>
      <c r="M252" s="25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10"/>
      <c r="M253" s="25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10"/>
      <c r="M254" s="25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10"/>
      <c r="M255" s="25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10"/>
      <c r="M256" s="25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10"/>
      <c r="M257" s="25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10"/>
      <c r="M258" s="25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10"/>
      <c r="M259" s="25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10"/>
      <c r="M260" s="25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10"/>
      <c r="M261" s="25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10"/>
      <c r="M262" s="25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10"/>
      <c r="M263" s="25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10"/>
      <c r="M264" s="25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10"/>
      <c r="M265" s="25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10"/>
      <c r="M266" s="25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10"/>
      <c r="M267" s="25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10"/>
      <c r="M268" s="25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10"/>
      <c r="M269" s="25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10"/>
      <c r="M270" s="25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10"/>
      <c r="M271" s="25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10"/>
      <c r="M272" s="25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10"/>
      <c r="M273" s="25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10"/>
      <c r="M274" s="25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10"/>
      <c r="M275" s="25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10"/>
      <c r="M276" s="25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10"/>
      <c r="M277" s="25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10"/>
      <c r="M278" s="25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10"/>
      <c r="M279" s="25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10"/>
      <c r="M280" s="25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10"/>
      <c r="M281" s="25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10"/>
      <c r="M282" s="25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10"/>
      <c r="M283" s="25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10"/>
      <c r="M284" s="25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10"/>
      <c r="M285" s="25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10"/>
      <c r="M286" s="25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10"/>
      <c r="M287" s="25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10"/>
      <c r="M288" s="25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10"/>
      <c r="M289" s="25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10"/>
      <c r="M290" s="25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10"/>
      <c r="M291" s="25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10"/>
      <c r="M292" s="25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10"/>
      <c r="M293" s="25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10"/>
      <c r="M294" s="25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10"/>
      <c r="M295" s="25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10"/>
      <c r="M296" s="25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10"/>
      <c r="M297" s="25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10"/>
      <c r="M298" s="25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10"/>
      <c r="M299" s="25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10"/>
      <c r="M300" s="25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10"/>
      <c r="M301" s="25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10"/>
      <c r="M302" s="25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10"/>
      <c r="M303" s="25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10"/>
      <c r="M304" s="25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10"/>
      <c r="M305" s="25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10"/>
      <c r="M306" s="25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10"/>
      <c r="M307" s="25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10"/>
      <c r="M308" s="25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10"/>
      <c r="M309" s="25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10"/>
      <c r="M310" s="25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10"/>
      <c r="M311" s="25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10"/>
      <c r="M312" s="25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10"/>
      <c r="M313" s="25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10"/>
      <c r="M314" s="25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10"/>
      <c r="M315" s="25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10"/>
      <c r="M316" s="25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10"/>
      <c r="M317" s="25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10"/>
      <c r="M318" s="25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10"/>
      <c r="M319" s="25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10"/>
      <c r="M320" s="25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10"/>
      <c r="M321" s="25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10"/>
      <c r="M322" s="25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10"/>
      <c r="M323" s="25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10"/>
      <c r="M324" s="25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10"/>
      <c r="M325" s="25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10"/>
      <c r="M326" s="25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10"/>
      <c r="M327" s="25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10"/>
      <c r="M328" s="25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10"/>
      <c r="M329" s="25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10"/>
      <c r="M330" s="25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10"/>
      <c r="M331" s="25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10"/>
      <c r="M332" s="25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10"/>
      <c r="M333" s="25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10"/>
      <c r="M334" s="25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10"/>
      <c r="M335" s="25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10"/>
      <c r="M336" s="25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10"/>
      <c r="M337" s="25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10"/>
      <c r="M338" s="25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10"/>
      <c r="M339" s="25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10"/>
      <c r="M340" s="25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10"/>
      <c r="M341" s="25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10"/>
      <c r="M342" s="25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10"/>
      <c r="M343" s="25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10"/>
      <c r="M344" s="25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10"/>
      <c r="M345" s="25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10"/>
      <c r="M346" s="25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10"/>
      <c r="M347" s="25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10"/>
      <c r="M348" s="25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10"/>
      <c r="M349" s="25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10"/>
      <c r="M350" s="25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10"/>
      <c r="M351" s="25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10"/>
      <c r="M352" s="25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10"/>
      <c r="M353" s="25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10"/>
      <c r="M354" s="25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10"/>
      <c r="M355" s="25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10"/>
      <c r="M356" s="25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10"/>
      <c r="M357" s="25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10"/>
      <c r="M358" s="25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10"/>
      <c r="M359" s="25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10"/>
      <c r="M360" s="25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10"/>
      <c r="M361" s="25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10"/>
      <c r="M362" s="25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10"/>
      <c r="M363" s="25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10"/>
      <c r="M364" s="25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10"/>
      <c r="M365" s="25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10"/>
      <c r="M366" s="25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10"/>
      <c r="M367" s="25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10"/>
      <c r="M368" s="25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10"/>
      <c r="M369" s="25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10"/>
      <c r="M370" s="25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10"/>
      <c r="M371" s="25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10"/>
      <c r="M372" s="25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10"/>
      <c r="M373" s="25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10"/>
      <c r="M374" s="25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10"/>
      <c r="M375" s="25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10"/>
      <c r="M376" s="25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10"/>
      <c r="M377" s="25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10"/>
      <c r="M378" s="25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10"/>
      <c r="M379" s="25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10"/>
      <c r="M380" s="25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10"/>
      <c r="M381" s="25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10"/>
      <c r="M382" s="25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10"/>
      <c r="M383" s="25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10"/>
      <c r="M384" s="25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10"/>
      <c r="M385" s="25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10"/>
      <c r="M386" s="25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10"/>
      <c r="M387" s="25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10"/>
      <c r="M388" s="25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10"/>
      <c r="M389" s="25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10"/>
      <c r="M390" s="25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10"/>
      <c r="M391" s="25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10"/>
      <c r="M392" s="25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10"/>
      <c r="M393" s="25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10"/>
      <c r="M394" s="25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10"/>
      <c r="M395" s="25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10"/>
      <c r="M396" s="25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10"/>
      <c r="M397" s="25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10"/>
      <c r="M398" s="25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10"/>
      <c r="M399" s="25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10"/>
      <c r="M400" s="25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10"/>
      <c r="M401" s="25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10"/>
      <c r="M402" s="25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10"/>
      <c r="M403" s="25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10"/>
      <c r="M404" s="25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10"/>
      <c r="M405" s="25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10"/>
      <c r="M406" s="25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10"/>
      <c r="M407" s="25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10"/>
      <c r="M408" s="25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10"/>
      <c r="M409" s="25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10"/>
      <c r="M410" s="25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10"/>
      <c r="M411" s="25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10"/>
      <c r="M412" s="25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10"/>
      <c r="M413" s="25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10"/>
      <c r="M414" s="25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10"/>
      <c r="M415" s="25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10"/>
      <c r="M416" s="25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10"/>
      <c r="M417" s="25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10"/>
      <c r="M418" s="25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10"/>
      <c r="M419" s="25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10"/>
      <c r="M420" s="25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10"/>
      <c r="M421" s="25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10"/>
      <c r="M422" s="25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10"/>
      <c r="M423" s="25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10"/>
      <c r="M424" s="25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10"/>
      <c r="M425" s="25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10"/>
      <c r="M426" s="25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10"/>
      <c r="M427" s="25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10"/>
      <c r="M428" s="25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10"/>
      <c r="M429" s="25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10"/>
      <c r="M430" s="25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10"/>
      <c r="M431" s="25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10"/>
      <c r="M432" s="25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10"/>
      <c r="M433" s="25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10"/>
      <c r="M434" s="25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10"/>
      <c r="M435" s="25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10"/>
      <c r="M436" s="25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10"/>
      <c r="M437" s="25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10"/>
      <c r="M438" s="25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10"/>
      <c r="M439" s="25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10"/>
      <c r="M440" s="25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10"/>
      <c r="M441" s="25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10"/>
      <c r="M442" s="25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10"/>
      <c r="M443" s="25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10"/>
      <c r="M444" s="25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10"/>
      <c r="M445" s="25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10"/>
      <c r="M446" s="25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10"/>
      <c r="M447" s="25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10"/>
      <c r="M448" s="25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10"/>
      <c r="M449" s="25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10"/>
      <c r="M450" s="25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10"/>
      <c r="M451" s="25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10"/>
      <c r="M452" s="25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10"/>
      <c r="M453" s="25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10"/>
      <c r="M454" s="25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10"/>
      <c r="M455" s="25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10"/>
      <c r="M456" s="25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10"/>
      <c r="M457" s="25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10"/>
      <c r="M458" s="25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10"/>
      <c r="M459" s="25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10"/>
      <c r="M460" s="25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10"/>
      <c r="M461" s="25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10"/>
      <c r="M462" s="25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10"/>
      <c r="M463" s="25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10"/>
      <c r="M464" s="25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10"/>
      <c r="M465" s="25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10"/>
      <c r="M466" s="25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10"/>
      <c r="M467" s="25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10"/>
      <c r="M468" s="25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10"/>
      <c r="M469" s="25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10"/>
      <c r="M470" s="25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10"/>
      <c r="M471" s="25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10"/>
      <c r="M472" s="25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10"/>
      <c r="M473" s="25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10"/>
      <c r="M474" s="25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10"/>
      <c r="M475" s="25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10"/>
      <c r="M476" s="25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10"/>
      <c r="M477" s="25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10"/>
      <c r="M478" s="25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10"/>
      <c r="M479" s="25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10"/>
      <c r="M480" s="25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10"/>
      <c r="M481" s="25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10"/>
      <c r="M482" s="25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10"/>
      <c r="M483" s="25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10"/>
      <c r="M484" s="25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10"/>
      <c r="M485" s="25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10"/>
      <c r="M486" s="25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10"/>
      <c r="M487" s="25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10"/>
      <c r="M488" s="25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10"/>
      <c r="M489" s="25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10"/>
      <c r="M490" s="25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10"/>
      <c r="M491" s="25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10"/>
      <c r="M492" s="25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10"/>
      <c r="M493" s="25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10"/>
      <c r="M494" s="25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10"/>
      <c r="M495" s="25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10"/>
      <c r="M496" s="25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10"/>
      <c r="M497" s="25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10"/>
      <c r="M498" s="25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10"/>
      <c r="M499" s="25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10"/>
      <c r="M500" s="25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10"/>
      <c r="M501" s="25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10"/>
      <c r="M502" s="25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10"/>
      <c r="M503" s="25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10"/>
      <c r="M504" s="25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10"/>
      <c r="M505" s="25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10"/>
      <c r="M506" s="25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10"/>
      <c r="M507" s="25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10"/>
      <c r="M508" s="25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10"/>
      <c r="M509" s="25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10"/>
      <c r="M510" s="25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10"/>
      <c r="M511" s="25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10"/>
      <c r="M512" s="25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10"/>
      <c r="M513" s="25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10"/>
      <c r="M514" s="25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10"/>
      <c r="M515" s="25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10"/>
      <c r="M516" s="25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10"/>
      <c r="M517" s="25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10"/>
      <c r="M518" s="25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10"/>
      <c r="M519" s="25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10"/>
      <c r="M520" s="25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10"/>
      <c r="M521" s="25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10"/>
      <c r="M522" s="25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10"/>
      <c r="M523" s="25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10"/>
      <c r="M524" s="25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10"/>
      <c r="M525" s="25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10"/>
      <c r="M526" s="25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10"/>
      <c r="M527" s="25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10"/>
      <c r="M528" s="25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10"/>
      <c r="M529" s="25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10"/>
      <c r="M530" s="25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10"/>
      <c r="M531" s="25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10"/>
      <c r="M532" s="25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10"/>
      <c r="M533" s="25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10"/>
      <c r="M534" s="25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10"/>
      <c r="M535" s="25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10"/>
      <c r="M536" s="25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10"/>
      <c r="M537" s="25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10"/>
      <c r="M538" s="25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10"/>
      <c r="M539" s="25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10"/>
      <c r="M540" s="25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10"/>
      <c r="M541" s="25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10"/>
      <c r="M542" s="25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10"/>
      <c r="M543" s="25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10"/>
      <c r="M544" s="25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10"/>
      <c r="M545" s="25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10"/>
      <c r="M546" s="25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10"/>
      <c r="M547" s="25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10"/>
      <c r="M548" s="25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10"/>
      <c r="M549" s="25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10"/>
      <c r="M550" s="25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10"/>
      <c r="M551" s="25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10"/>
      <c r="M552" s="25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10"/>
      <c r="M553" s="25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10"/>
      <c r="M554" s="25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10"/>
      <c r="M555" s="25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10"/>
      <c r="M556" s="25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10"/>
      <c r="M557" s="25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10"/>
      <c r="M558" s="25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10"/>
      <c r="M559" s="25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10"/>
      <c r="M560" s="25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10"/>
      <c r="M561" s="25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10"/>
      <c r="M562" s="25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10"/>
      <c r="M563" s="25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10"/>
      <c r="M564" s="25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10"/>
      <c r="M565" s="25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10"/>
      <c r="M566" s="25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10"/>
      <c r="M567" s="25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10"/>
      <c r="M568" s="25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10"/>
      <c r="M569" s="25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10"/>
      <c r="M570" s="25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10"/>
      <c r="M571" s="25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10"/>
      <c r="M572" s="25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10"/>
      <c r="M573" s="25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10"/>
      <c r="M574" s="25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10"/>
      <c r="M575" s="25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10"/>
      <c r="M576" s="25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10"/>
      <c r="M577" s="25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10"/>
      <c r="M578" s="25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10"/>
      <c r="M579" s="25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10"/>
      <c r="M580" s="25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10"/>
      <c r="M581" s="25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10"/>
      <c r="M582" s="25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10"/>
      <c r="M583" s="25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10"/>
      <c r="M584" s="25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10"/>
      <c r="M585" s="25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10"/>
      <c r="M586" s="25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10"/>
      <c r="M587" s="25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10"/>
      <c r="M588" s="25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10"/>
      <c r="M589" s="25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10"/>
      <c r="M590" s="25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10"/>
      <c r="M591" s="25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10"/>
      <c r="M592" s="25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10"/>
      <c r="M593" s="25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10"/>
      <c r="M594" s="25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10"/>
      <c r="M595" s="25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10"/>
      <c r="M596" s="25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10"/>
      <c r="M597" s="25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10"/>
      <c r="M598" s="25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10"/>
      <c r="M599" s="25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10"/>
      <c r="M600" s="25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10"/>
      <c r="M601" s="25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10"/>
      <c r="M602" s="25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10"/>
      <c r="M603" s="25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10"/>
      <c r="M604" s="25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10"/>
      <c r="M605" s="25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10"/>
      <c r="M606" s="25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10"/>
      <c r="M607" s="25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10"/>
      <c r="M608" s="25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10"/>
      <c r="M609" s="25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10"/>
      <c r="M610" s="25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10"/>
      <c r="M611" s="25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10"/>
      <c r="M612" s="25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10"/>
      <c r="M613" s="25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10"/>
      <c r="M614" s="25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10"/>
      <c r="M615" s="25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10"/>
      <c r="M616" s="25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10"/>
      <c r="M617" s="25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10"/>
      <c r="M618" s="25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10"/>
      <c r="M619" s="25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10"/>
      <c r="M620" s="25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10"/>
      <c r="M621" s="25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10"/>
      <c r="M622" s="25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10"/>
      <c r="M623" s="25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10"/>
      <c r="M624" s="25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10"/>
      <c r="M625" s="25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10"/>
      <c r="M626" s="25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10"/>
      <c r="M627" s="25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10"/>
      <c r="M628" s="25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10"/>
      <c r="M629" s="25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10"/>
      <c r="M630" s="25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10"/>
      <c r="M631" s="25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10"/>
      <c r="M632" s="25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10"/>
      <c r="M633" s="25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10"/>
      <c r="M634" s="25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10"/>
      <c r="M635" s="25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10"/>
      <c r="M636" s="25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10"/>
      <c r="M637" s="25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10"/>
      <c r="M638" s="25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10"/>
      <c r="M639" s="25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10"/>
      <c r="M640" s="25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10"/>
      <c r="M641" s="25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10"/>
      <c r="M642" s="25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10"/>
      <c r="M643" s="25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10"/>
      <c r="M644" s="25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10"/>
      <c r="M645" s="25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10"/>
      <c r="M646" s="25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10"/>
      <c r="M647" s="25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10"/>
      <c r="M648" s="25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10"/>
      <c r="M649" s="25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10"/>
      <c r="M650" s="25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10"/>
      <c r="M651" s="25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10"/>
      <c r="M652" s="25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10"/>
      <c r="M653" s="25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10"/>
      <c r="M654" s="25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10"/>
      <c r="M655" s="25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10"/>
      <c r="M656" s="25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10"/>
      <c r="M657" s="25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10"/>
      <c r="M658" s="25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10"/>
      <c r="M659" s="25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10"/>
      <c r="M660" s="25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10"/>
      <c r="M661" s="25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10"/>
      <c r="M662" s="25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10"/>
      <c r="M663" s="25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10"/>
      <c r="M664" s="25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10"/>
      <c r="M665" s="25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10"/>
      <c r="M666" s="25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10"/>
      <c r="M667" s="25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10"/>
      <c r="M668" s="25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10"/>
      <c r="M669" s="25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10"/>
      <c r="M670" s="25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10"/>
      <c r="M671" s="25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10"/>
      <c r="M672" s="25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10"/>
      <c r="M673" s="25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10"/>
      <c r="M674" s="25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10"/>
      <c r="M675" s="25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10"/>
      <c r="M676" s="25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10"/>
      <c r="M677" s="25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10"/>
      <c r="M678" s="25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10"/>
      <c r="M679" s="25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10"/>
      <c r="M680" s="25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10"/>
      <c r="M681" s="25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10"/>
      <c r="M682" s="25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10"/>
      <c r="M683" s="25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10"/>
      <c r="M684" s="25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10"/>
      <c r="M685" s="25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10"/>
      <c r="M686" s="25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10"/>
      <c r="M687" s="25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10"/>
      <c r="M688" s="25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10"/>
      <c r="M689" s="25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10"/>
      <c r="M690" s="25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10"/>
      <c r="M691" s="25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10"/>
      <c r="M692" s="25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10"/>
      <c r="M693" s="25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10"/>
      <c r="M694" s="25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10"/>
      <c r="M695" s="25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10"/>
      <c r="M696" s="25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10"/>
      <c r="M697" s="25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10"/>
      <c r="M698" s="25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10"/>
      <c r="M699" s="25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10"/>
      <c r="M700" s="25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10"/>
      <c r="M701" s="25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10"/>
      <c r="M702" s="25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10"/>
      <c r="M703" s="25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10"/>
      <c r="M704" s="25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10"/>
      <c r="M705" s="25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10"/>
      <c r="M706" s="25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10"/>
      <c r="M707" s="25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10"/>
      <c r="M708" s="25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10"/>
      <c r="M709" s="25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10"/>
      <c r="M710" s="25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10"/>
      <c r="M711" s="25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10"/>
      <c r="M712" s="25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10"/>
      <c r="M713" s="25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10"/>
      <c r="M714" s="25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10"/>
      <c r="M715" s="25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10"/>
      <c r="M716" s="25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10"/>
      <c r="M717" s="25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10"/>
      <c r="M718" s="25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10"/>
      <c r="M719" s="25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10"/>
      <c r="M720" s="25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10"/>
      <c r="M721" s="25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10"/>
      <c r="M722" s="25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10"/>
      <c r="M723" s="25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10"/>
      <c r="M724" s="25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10"/>
      <c r="M725" s="25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10"/>
      <c r="M726" s="25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10"/>
      <c r="M727" s="25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10"/>
      <c r="M728" s="25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10"/>
      <c r="M729" s="25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10"/>
      <c r="M730" s="25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10"/>
      <c r="M731" s="25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10"/>
      <c r="M732" s="25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10"/>
      <c r="M733" s="25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10"/>
      <c r="M734" s="25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10"/>
      <c r="M735" s="25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10"/>
      <c r="M736" s="25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10"/>
      <c r="M737" s="25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10"/>
      <c r="M738" s="25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10"/>
      <c r="M739" s="25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10"/>
      <c r="M740" s="25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10"/>
      <c r="M741" s="25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10"/>
      <c r="M742" s="25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10"/>
      <c r="M743" s="25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10"/>
      <c r="M744" s="25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10"/>
      <c r="M745" s="25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10"/>
      <c r="M746" s="25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10"/>
      <c r="M747" s="25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10"/>
      <c r="M748" s="25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10"/>
      <c r="M749" s="25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10"/>
      <c r="M750" s="25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10"/>
      <c r="M751" s="25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10"/>
      <c r="M752" s="25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10"/>
      <c r="M753" s="25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10"/>
      <c r="M754" s="25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10"/>
      <c r="M755" s="25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10"/>
      <c r="M756" s="25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10"/>
      <c r="M757" s="25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10"/>
      <c r="M758" s="25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10"/>
      <c r="M759" s="25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10"/>
      <c r="M760" s="25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10"/>
      <c r="M761" s="25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10"/>
      <c r="M762" s="25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10"/>
      <c r="M763" s="25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10"/>
      <c r="M764" s="25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10"/>
      <c r="M765" s="25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10"/>
      <c r="M766" s="25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10"/>
      <c r="M767" s="25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10"/>
      <c r="M768" s="25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10"/>
      <c r="M769" s="25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10"/>
      <c r="M770" s="25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10"/>
      <c r="M771" s="25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10"/>
      <c r="M772" s="25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10"/>
      <c r="M773" s="25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10"/>
      <c r="M774" s="25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10"/>
      <c r="M775" s="25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10"/>
      <c r="M776" s="25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10"/>
      <c r="M777" s="25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10"/>
      <c r="M778" s="25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10"/>
      <c r="M779" s="25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10"/>
      <c r="M780" s="25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10"/>
      <c r="M781" s="25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10"/>
      <c r="M782" s="25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10"/>
      <c r="M783" s="25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10"/>
      <c r="M784" s="25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10"/>
      <c r="M785" s="25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10"/>
      <c r="M786" s="25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10"/>
      <c r="M787" s="25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10"/>
      <c r="M788" s="25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10"/>
      <c r="M789" s="25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10"/>
      <c r="M790" s="25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10"/>
      <c r="M791" s="25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10"/>
      <c r="M792" s="25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10"/>
      <c r="M793" s="25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10"/>
      <c r="M794" s="25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10"/>
      <c r="M795" s="25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10"/>
      <c r="M796" s="25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10"/>
      <c r="M797" s="25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10"/>
      <c r="M798" s="25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10"/>
      <c r="M799" s="25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10"/>
      <c r="M800" s="25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10"/>
      <c r="M801" s="25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10"/>
      <c r="M802" s="25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10"/>
      <c r="M803" s="25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10"/>
      <c r="M804" s="25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10"/>
      <c r="M805" s="25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10"/>
      <c r="M806" s="25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10"/>
      <c r="M807" s="25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10"/>
      <c r="M808" s="25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10"/>
      <c r="M809" s="25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10"/>
      <c r="M810" s="25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10"/>
      <c r="M811" s="25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10"/>
      <c r="M812" s="25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10"/>
      <c r="M813" s="25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10"/>
      <c r="M814" s="25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10"/>
      <c r="M815" s="25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10"/>
      <c r="M816" s="25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10"/>
      <c r="M817" s="25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10"/>
      <c r="M818" s="25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10"/>
      <c r="M819" s="25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10"/>
      <c r="M820" s="25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10"/>
      <c r="M821" s="25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10"/>
      <c r="M822" s="25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10"/>
      <c r="M823" s="25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10"/>
      <c r="M824" s="25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10"/>
      <c r="M825" s="25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10"/>
      <c r="M826" s="25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10"/>
      <c r="M827" s="25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10"/>
      <c r="M828" s="25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10"/>
      <c r="M829" s="25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10"/>
      <c r="M830" s="25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10"/>
      <c r="M831" s="25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10"/>
      <c r="M832" s="25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10"/>
      <c r="M833" s="25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10"/>
      <c r="M834" s="25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10"/>
      <c r="M835" s="25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10"/>
      <c r="M836" s="25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10"/>
      <c r="M837" s="25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10"/>
      <c r="M838" s="25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10"/>
      <c r="M839" s="25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10"/>
      <c r="M840" s="25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10"/>
      <c r="M841" s="25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10"/>
      <c r="M842" s="25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10"/>
      <c r="M843" s="25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10"/>
      <c r="M844" s="25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10"/>
      <c r="M845" s="25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10"/>
      <c r="M846" s="25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10"/>
      <c r="M847" s="25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10"/>
      <c r="M848" s="25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10"/>
      <c r="M849" s="25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10"/>
      <c r="M850" s="25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10"/>
      <c r="M851" s="25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10"/>
      <c r="M852" s="25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10"/>
      <c r="M853" s="25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10"/>
      <c r="M854" s="25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10"/>
      <c r="M855" s="25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10"/>
      <c r="M856" s="25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10"/>
      <c r="M857" s="25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10"/>
      <c r="M858" s="25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10"/>
      <c r="M859" s="25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10"/>
      <c r="M860" s="25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10"/>
      <c r="M861" s="25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10"/>
      <c r="M862" s="25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10"/>
      <c r="M863" s="25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10"/>
      <c r="M864" s="25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10"/>
      <c r="M865" s="25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10"/>
      <c r="M866" s="25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10"/>
      <c r="M867" s="25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10"/>
      <c r="M868" s="25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10"/>
      <c r="M869" s="25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10"/>
      <c r="M870" s="25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10"/>
      <c r="M871" s="25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10"/>
      <c r="M872" s="25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10"/>
      <c r="M873" s="25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10"/>
      <c r="M874" s="25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10"/>
      <c r="M875" s="25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10"/>
      <c r="M876" s="25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10"/>
      <c r="M877" s="25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10"/>
      <c r="M878" s="25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10"/>
      <c r="M879" s="25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10"/>
      <c r="M880" s="25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10"/>
      <c r="M881" s="25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10"/>
      <c r="M882" s="25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10"/>
      <c r="M883" s="25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10"/>
      <c r="M884" s="25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10"/>
      <c r="M885" s="25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10"/>
      <c r="M886" s="25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10"/>
      <c r="M887" s="25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10"/>
      <c r="M888" s="25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10"/>
      <c r="M889" s="25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10"/>
      <c r="M890" s="25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10"/>
      <c r="M891" s="25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10"/>
      <c r="M892" s="25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10"/>
      <c r="M893" s="25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10"/>
      <c r="M894" s="25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10"/>
      <c r="M895" s="25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10"/>
      <c r="M896" s="25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10"/>
      <c r="M897" s="25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10"/>
      <c r="M898" s="25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10"/>
      <c r="M899" s="25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10"/>
      <c r="M900" s="25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10"/>
      <c r="M901" s="25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10"/>
      <c r="M902" s="25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10"/>
      <c r="M903" s="25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10"/>
      <c r="M904" s="25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10"/>
      <c r="M905" s="25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10"/>
      <c r="M906" s="25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10"/>
      <c r="M907" s="25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10"/>
      <c r="M908" s="25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10"/>
      <c r="M909" s="25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10"/>
      <c r="M910" s="25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10"/>
      <c r="M911" s="25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10"/>
      <c r="M912" s="25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10"/>
      <c r="M913" s="25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10"/>
      <c r="M914" s="25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10"/>
      <c r="M915" s="25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10"/>
      <c r="M916" s="25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10"/>
      <c r="M917" s="25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10"/>
      <c r="M918" s="25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10"/>
      <c r="M919" s="25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10"/>
      <c r="M920" s="25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10"/>
      <c r="M921" s="25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10"/>
      <c r="M922" s="25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10"/>
      <c r="M923" s="25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10"/>
      <c r="M924" s="25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10"/>
      <c r="M925" s="25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10"/>
      <c r="M926" s="25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10"/>
      <c r="M927" s="25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10"/>
      <c r="M928" s="25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10"/>
      <c r="M929" s="25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10"/>
      <c r="M930" s="25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10"/>
      <c r="M931" s="25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10"/>
      <c r="M932" s="25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10"/>
      <c r="M933" s="25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10"/>
      <c r="M934" s="25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10"/>
      <c r="M935" s="25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10"/>
      <c r="M936" s="25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10"/>
      <c r="M937" s="25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10"/>
      <c r="M938" s="25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10"/>
      <c r="M939" s="25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10"/>
      <c r="M940" s="25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10"/>
      <c r="M941" s="25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10"/>
      <c r="M942" s="25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10"/>
      <c r="M943" s="25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10"/>
      <c r="M944" s="25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10"/>
      <c r="M945" s="25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10"/>
      <c r="M946" s="25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10"/>
      <c r="M947" s="25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10"/>
      <c r="M948" s="25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10"/>
      <c r="M949" s="25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10"/>
      <c r="M950" s="25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10"/>
      <c r="M951" s="25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10"/>
      <c r="M952" s="25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10"/>
      <c r="M953" s="25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10"/>
      <c r="M954" s="25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10"/>
      <c r="M955" s="25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10"/>
      <c r="M956" s="25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10"/>
      <c r="M957" s="25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10"/>
      <c r="M958" s="25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10"/>
      <c r="M959" s="25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10"/>
      <c r="M960" s="25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10"/>
      <c r="M961" s="25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10"/>
      <c r="M962" s="25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10"/>
      <c r="M963" s="25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10"/>
      <c r="M964" s="25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10"/>
      <c r="M965" s="25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10"/>
      <c r="M966" s="25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10"/>
      <c r="M967" s="25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10"/>
      <c r="M968" s="25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10"/>
      <c r="M969" s="25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10"/>
      <c r="M970" s="25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10"/>
      <c r="M971" s="25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10"/>
      <c r="M972" s="25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10"/>
      <c r="M973" s="25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10"/>
      <c r="M974" s="25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10"/>
      <c r="M975" s="25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10"/>
      <c r="M976" s="25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10"/>
      <c r="M977" s="25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10"/>
      <c r="M978" s="25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10"/>
      <c r="M979" s="25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10"/>
      <c r="M980" s="25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10"/>
      <c r="M981" s="25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10"/>
      <c r="M982" s="25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10"/>
      <c r="M983" s="25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10"/>
      <c r="M984" s="25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10"/>
      <c r="M985" s="25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10"/>
      <c r="M986" s="25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10"/>
      <c r="M987" s="25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10"/>
      <c r="M988" s="25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10"/>
      <c r="M989" s="25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10"/>
      <c r="M990" s="25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10"/>
      <c r="M991" s="25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10"/>
      <c r="M992" s="25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10"/>
      <c r="M993" s="25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10"/>
      <c r="M994" s="25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10"/>
      <c r="M995" s="25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10"/>
      <c r="M996" s="25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10"/>
      <c r="M997" s="25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10"/>
      <c r="M998" s="25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10"/>
      <c r="M999" s="25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10"/>
      <c r="M1000" s="25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1:N1"/>
  </mergeCells>
  <dataValidations>
    <dataValidation type="list" allowBlank="1" showErrorMessage="1" sqref="G3:G100">
      <formula1>Sheet2!$A$1:$A$30</formula1>
    </dataValidation>
    <dataValidation type="list" allowBlank="1" showErrorMessage="1" sqref="K3:K99 N3:N99">
      <formula1>"Y,N"</formula1>
    </dataValidation>
    <dataValidation type="list" allowBlank="1" showInputMessage="1" showErrorMessage="1" prompt="Must be Y or N - Must be Y or N" sqref="I3:I99">
      <formula1>"Y,N"</formula1>
    </dataValidation>
  </dataValidations>
  <printOptions/>
  <pageMargins bottom="0.75" footer="0.0" header="0.0" left="0.25" right="0.25" top="0.75"/>
  <pageSetup scale="7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7">
        <v>0.0</v>
      </c>
    </row>
    <row r="2">
      <c r="A2" s="7">
        <v>1.0</v>
      </c>
    </row>
    <row r="3">
      <c r="A3" s="7">
        <v>2.0</v>
      </c>
    </row>
    <row r="4">
      <c r="A4" s="7">
        <v>3.0</v>
      </c>
    </row>
    <row r="5">
      <c r="A5" s="7">
        <v>4.0</v>
      </c>
    </row>
    <row r="6">
      <c r="A6" s="7">
        <v>5.0</v>
      </c>
    </row>
    <row r="7">
      <c r="A7" s="7">
        <v>6.0</v>
      </c>
    </row>
    <row r="8">
      <c r="A8" s="7">
        <v>7.0</v>
      </c>
    </row>
    <row r="9">
      <c r="A9" s="7">
        <v>8.0</v>
      </c>
    </row>
    <row r="10">
      <c r="A10" s="7">
        <v>9.0</v>
      </c>
    </row>
    <row r="11">
      <c r="A11" s="7">
        <v>10.0</v>
      </c>
    </row>
    <row r="12">
      <c r="A12" s="7">
        <v>11.0</v>
      </c>
    </row>
    <row r="13">
      <c r="A13" s="7">
        <v>12.0</v>
      </c>
    </row>
    <row r="14">
      <c r="A14" s="7">
        <v>13.0</v>
      </c>
    </row>
    <row r="15">
      <c r="A15" s="7">
        <v>14.0</v>
      </c>
    </row>
    <row r="16">
      <c r="A16" s="7">
        <v>15.0</v>
      </c>
    </row>
    <row r="17">
      <c r="A17" s="7">
        <v>16.0</v>
      </c>
    </row>
    <row r="18">
      <c r="A18" s="7">
        <v>17.0</v>
      </c>
    </row>
    <row r="19">
      <c r="A19" s="7">
        <v>18.0</v>
      </c>
    </row>
    <row r="20">
      <c r="A20" s="7">
        <v>19.0</v>
      </c>
    </row>
    <row r="21" ht="15.75" customHeight="1">
      <c r="A21" s="7">
        <v>20.0</v>
      </c>
    </row>
    <row r="22" ht="15.75" customHeight="1">
      <c r="A22" s="7">
        <v>21.0</v>
      </c>
    </row>
    <row r="23" ht="15.75" customHeight="1">
      <c r="A23" s="7">
        <v>22.0</v>
      </c>
    </row>
    <row r="24" ht="15.75" customHeight="1">
      <c r="A24" s="7">
        <v>23.0</v>
      </c>
    </row>
    <row r="25" ht="15.75" customHeight="1">
      <c r="A25" s="7">
        <v>24.0</v>
      </c>
    </row>
    <row r="26" ht="15.75" customHeight="1">
      <c r="A26" s="7">
        <v>25.0</v>
      </c>
    </row>
    <row r="27" ht="15.75" customHeight="1">
      <c r="A27" s="7">
        <v>26.0</v>
      </c>
    </row>
    <row r="28" ht="15.75" customHeight="1">
      <c r="A28" s="7">
        <v>27.0</v>
      </c>
    </row>
    <row r="29" ht="15.75" customHeight="1">
      <c r="A29" s="7">
        <v>28.0</v>
      </c>
    </row>
    <row r="30" ht="15.75" customHeight="1">
      <c r="A30" s="7">
        <v>29.0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2">
      <c r="A2" s="7" t="s">
        <v>36</v>
      </c>
    </row>
    <row r="3">
      <c r="A3" s="7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6.86"/>
    <col customWidth="1" min="3" max="3" width="8.86"/>
    <col customWidth="1" min="4" max="4" width="10.57"/>
    <col customWidth="1" min="5" max="8" width="8.86"/>
    <col customWidth="1" min="9" max="9" width="10.43"/>
    <col customWidth="1" min="10" max="13" width="8.86"/>
    <col customWidth="1" min="14" max="14" width="18.43"/>
    <col customWidth="1" min="15" max="26" width="8.86"/>
  </cols>
  <sheetData>
    <row r="1" ht="111.0" customHeight="1">
      <c r="A1" s="11" t="s">
        <v>20</v>
      </c>
      <c r="B1" s="11" t="s">
        <v>21</v>
      </c>
      <c r="C1" s="12" t="s">
        <v>22</v>
      </c>
      <c r="D1" s="12" t="s">
        <v>38</v>
      </c>
      <c r="E1" s="13" t="s">
        <v>24</v>
      </c>
      <c r="F1" s="13" t="s">
        <v>25</v>
      </c>
      <c r="G1" s="13" t="s">
        <v>26</v>
      </c>
      <c r="H1" s="12" t="s">
        <v>27</v>
      </c>
      <c r="I1" s="12" t="s">
        <v>39</v>
      </c>
      <c r="J1" s="12" t="s">
        <v>29</v>
      </c>
      <c r="K1" s="12" t="s">
        <v>40</v>
      </c>
      <c r="L1" s="14" t="s">
        <v>31</v>
      </c>
      <c r="M1" s="12" t="s">
        <v>32</v>
      </c>
      <c r="N1" s="34" t="s">
        <v>41</v>
      </c>
    </row>
    <row r="2">
      <c r="A2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